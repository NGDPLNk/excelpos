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ID COFFEE BREAK\Desktop\"/>
    </mc:Choice>
  </mc:AlternateContent>
  <xr:revisionPtr revIDLastSave="0" documentId="13_ncr:1_{141B5C21-F1BE-4EC4-BD27-7238FCEB2562}" xr6:coauthVersionLast="47" xr6:coauthVersionMax="47" xr10:uidLastSave="{00000000-0000-0000-0000-000000000000}"/>
  <bookViews>
    <workbookView xWindow="-120" yWindow="-120" windowWidth="29040" windowHeight="15990" activeTab="4" xr2:uid="{0C1D4787-E619-498F-8596-3E11BF273BCC}"/>
  </bookViews>
  <sheets>
    <sheet name="CREAR_BOLETA" sheetId="6" r:id="rId1"/>
    <sheet name="REGISTRO_DE_VENTAS" sheetId="9" r:id="rId2"/>
    <sheet name="VENTAS_DIARIAS" sheetId="14" r:id="rId3"/>
    <sheet name="BOLETA" sheetId="5" r:id="rId4"/>
    <sheet name="EFECTIVO" sheetId="15" r:id="rId5"/>
    <sheet name="DEBITO" sheetId="12" r:id="rId6"/>
    <sheet name="TRANSFERENCIA" sheetId="13" r:id="rId7"/>
    <sheet name="PRODUCTOS" sheetId="8" state="hidden" r:id="rId8"/>
    <sheet name="MÉTODOS_DE_PAGO" sheetId="10" state="hidden" r:id="rId9"/>
  </sheets>
  <definedNames>
    <definedName name="DatosExternos_1" localSheetId="8" hidden="1">MÉTODOS_DE_PAGO!$A$1:$A$7</definedName>
    <definedName name="DatosExternos_1" localSheetId="7" hidden="1">PRODUCTOS!$A$1:$E$65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5" l="1" a="1"/>
  <c r="B3" i="15" s="1"/>
  <c r="B11" i="6"/>
  <c r="O9" i="6"/>
  <c r="C8" i="5" s="1"/>
  <c r="O7" i="6"/>
  <c r="C7" i="5" s="1"/>
  <c r="B14" i="5"/>
  <c r="C6" i="5"/>
  <c r="N9" i="6"/>
  <c r="B8" i="5" s="1"/>
  <c r="N7" i="6"/>
  <c r="H7" i="6" s="1"/>
  <c r="I7" i="6" s="1"/>
  <c r="N5" i="6"/>
  <c r="B6" i="5" s="1"/>
  <c r="B4" i="5"/>
  <c r="B12" i="6" s="1"/>
  <c r="B7" i="5" l="1"/>
  <c r="D7" i="5" s="1"/>
  <c r="H5" i="6"/>
  <c r="H9" i="6"/>
  <c r="D6" i="5" l="1"/>
  <c r="I5" i="6"/>
  <c r="D8" i="5"/>
  <c r="I9" i="6"/>
  <c r="D10" i="5" l="1"/>
  <c r="L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1F5102-3968-4142-B0BA-CF5B705AC0F2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2" xr16:uid="{C39EA7F9-59A4-414A-BCD4-AB02F70C36EA}" keepAlive="1" name="Consulta - Tabla2" description="Conexión a la consulta 'Tabla2' en el libro." type="5" refreshedVersion="8" background="1" saveData="1">
    <dbPr connection="Provider=Microsoft.Mashup.OleDb.1;Data Source=$Workbook$;Location=Tabla2;Extended Properties=&quot;&quot;" command="SELECT * FROM [Tabla2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<sst xmlns="http://schemas.openxmlformats.org/spreadsheetml/2006/main" count="241" uniqueCount="111">
  <si>
    <t>TOTAL</t>
  </si>
  <si>
    <t>GRACIAS POR SU PREFERENCIA</t>
  </si>
  <si>
    <t>.</t>
  </si>
  <si>
    <t>PRECIO</t>
  </si>
  <si>
    <t>PRODUCTO</t>
  </si>
  <si>
    <t>CANTIDAD</t>
  </si>
  <si>
    <t>BOLETA HIDEKI COFFEE</t>
  </si>
  <si>
    <t>ID DE PRODUCTO</t>
  </si>
  <si>
    <t>NOMBRE DEL PRODUCTO</t>
  </si>
  <si>
    <t>CATEGORÍA</t>
  </si>
  <si>
    <t>SUBCATEGORÍA</t>
  </si>
  <si>
    <t>LATTE</t>
  </si>
  <si>
    <t>COFFEE</t>
  </si>
  <si>
    <t>CINNAMON</t>
  </si>
  <si>
    <t>ESENCIAS</t>
  </si>
  <si>
    <t>NUTELLA</t>
  </si>
  <si>
    <t>BOMBÓN</t>
  </si>
  <si>
    <t>MANJAR</t>
  </si>
  <si>
    <t>CAPUCCINO</t>
  </si>
  <si>
    <t>FLAT WHITE</t>
  </si>
  <si>
    <t>VIENÉS</t>
  </si>
  <si>
    <t>CARAMEL MACCHIATO</t>
  </si>
  <si>
    <t>MOCACCINO</t>
  </si>
  <si>
    <t>WHITE</t>
  </si>
  <si>
    <t>BLACK 'N' WHITE</t>
  </si>
  <si>
    <t>PEPPERMINT</t>
  </si>
  <si>
    <t>ESPRESSO</t>
  </si>
  <si>
    <t>AMERICANO</t>
  </si>
  <si>
    <t>ESPRESSO ESENCIA</t>
  </si>
  <si>
    <t>CHOKORETO</t>
  </si>
  <si>
    <t>CHOKORETO ESPESO</t>
  </si>
  <si>
    <t>DAINSLEIF TEA</t>
  </si>
  <si>
    <t>GENSHIN FANTASY TEA</t>
  </si>
  <si>
    <t>TEA</t>
  </si>
  <si>
    <t>NINGUANG TEA</t>
  </si>
  <si>
    <t>HU TAO TEA</t>
  </si>
  <si>
    <t>NAHIDA TEA</t>
  </si>
  <si>
    <t>CHAI TEA</t>
  </si>
  <si>
    <t>LATTE CHAI TEA</t>
  </si>
  <si>
    <t>VARIETY TEA</t>
  </si>
  <si>
    <t>JUGO NATURAL</t>
  </si>
  <si>
    <t>JUGOS</t>
  </si>
  <si>
    <t>ICED LATTE</t>
  </si>
  <si>
    <t>ICED</t>
  </si>
  <si>
    <t>ICED CINNAMON</t>
  </si>
  <si>
    <t>ICED ESENCIAS</t>
  </si>
  <si>
    <t>ICED NUTELLA</t>
  </si>
  <si>
    <t>ICED BOMBÓN</t>
  </si>
  <si>
    <t>ICED MANJAR</t>
  </si>
  <si>
    <t>ICED CAPUCCINO</t>
  </si>
  <si>
    <t>ICED FLAT WHITE</t>
  </si>
  <si>
    <t>ICED VIENÉS</t>
  </si>
  <si>
    <t>ICED CARAMEL MACCHIATO</t>
  </si>
  <si>
    <t>ICED MOCACCINO</t>
  </si>
  <si>
    <t>ICED WHITE</t>
  </si>
  <si>
    <t>ICED BLACK 'N' WHITE</t>
  </si>
  <si>
    <t>ICED PEPPERMINT</t>
  </si>
  <si>
    <t>ICED AMERICANO</t>
  </si>
  <si>
    <t>ICED CHOKORETO</t>
  </si>
  <si>
    <t>ICED CHOKORETO ESPESO</t>
  </si>
  <si>
    <t>CHIBI MATCHA MOON</t>
  </si>
  <si>
    <t>BANANA FISH</t>
  </si>
  <si>
    <t>ALCREMIE CAKE</t>
  </si>
  <si>
    <t>BAKERY</t>
  </si>
  <si>
    <t>MATCHA CREME</t>
  </si>
  <si>
    <t>BROWNIEURSA</t>
  </si>
  <si>
    <t>BOMBAS DE CREMA</t>
  </si>
  <si>
    <t>PIE VARIETY</t>
  </si>
  <si>
    <t>TAIYAKY</t>
  </si>
  <si>
    <t>TANJIRO BREAD</t>
  </si>
  <si>
    <t>CHOKOLLIS</t>
  </si>
  <si>
    <t>VARIETY OREO CAKE</t>
  </si>
  <si>
    <t>SPRIGATITO</t>
  </si>
  <si>
    <t>SODA'S</t>
  </si>
  <si>
    <t>ICED SKITTY</t>
  </si>
  <si>
    <t>SOD SLITTEN</t>
  </si>
  <si>
    <t>SHICED MEW</t>
  </si>
  <si>
    <t>FAJI VIENES</t>
  </si>
  <si>
    <t>TOKYO SHOTS</t>
  </si>
  <si>
    <t>CHIFUYU BOMBÓN</t>
  </si>
  <si>
    <t>KAZUTORA LATTE</t>
  </si>
  <si>
    <t>POCHITA BLOOM (MOCACCINO + CUPCAKE)</t>
  </si>
  <si>
    <t>OFERTAS</t>
  </si>
  <si>
    <t>TOTAL PRODUCTO</t>
  </si>
  <si>
    <t>TOTAL VENTA</t>
  </si>
  <si>
    <t/>
  </si>
  <si>
    <t>FECHA DE VENTA</t>
  </si>
  <si>
    <t>MÉTODO DE PAGO</t>
  </si>
  <si>
    <t>PAGA CON</t>
  </si>
  <si>
    <t>EFECTIVO</t>
  </si>
  <si>
    <t>DÉBITO</t>
  </si>
  <si>
    <t>CRÉDITO</t>
  </si>
  <si>
    <t>MÉTODOS DE PAGO</t>
  </si>
  <si>
    <t>MÉTODO DE PAGO:</t>
  </si>
  <si>
    <t>PRODUCTO 1</t>
  </si>
  <si>
    <t>PRODUCTO 2</t>
  </si>
  <si>
    <t>PRODUCTO 3</t>
  </si>
  <si>
    <t>CANTIDAD (P1)</t>
  </si>
  <si>
    <t>CANTIDAD (P2)</t>
  </si>
  <si>
    <t>CANTIDAD (P3)</t>
  </si>
  <si>
    <t>PRECIO (P1)</t>
  </si>
  <si>
    <t>PRECIO (P2)</t>
  </si>
  <si>
    <t>PRECIO (P3)</t>
  </si>
  <si>
    <t>TOTAL (P1)</t>
  </si>
  <si>
    <t>TOTAL (P2)</t>
  </si>
  <si>
    <t>TOTAL (P3)</t>
  </si>
  <si>
    <t>TRANSFERENCIA</t>
  </si>
  <si>
    <t>DÍA</t>
  </si>
  <si>
    <t>MONTO</t>
  </si>
  <si>
    <t>CÓD DÍA</t>
  </si>
  <si>
    <t>CAPUCCINO ESCENCIA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</si>
</sst>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2" formatCode="_ &quot;$&quot;* #,##0_ ;_ &quot;$&quot;* \-#,##0_ ;_ &quot;$&quot;* &quot;-&quot;_ ;_ @_ "/>
    <numFmt numFmtId="164" formatCode="\x0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74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42" fontId="1" fillId="0" borderId="0" xfId="1" applyFont="1" applyAlignment="1">
      <alignment horizontal="left" vertical="center"/>
    </xf>
    <xf numFmtId="164" fontId="2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2" fontId="2" fillId="0" borderId="0" xfId="0" applyNumberFormat="1" applyFont="1" applyAlignment="1">
      <alignment horizontal="left" vertical="center"/>
    </xf>
    <xf numFmtId="42" fontId="2" fillId="0" borderId="0" xfId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7" fillId="0" borderId="1" xfId="0" applyNumberFormat="1" applyFont="1" applyBorder="1" applyAlignment="1">
      <alignment horizontal="left" vertical="center"/>
    </xf>
    <xf numFmtId="42" fontId="7" fillId="0" borderId="1" xfId="0" applyNumberFormat="1" applyFont="1" applyBorder="1" applyAlignment="1">
      <alignment horizontal="center" vertical="center"/>
    </xf>
    <xf numFmtId="0" fontId="6" fillId="0" borderId="0" xfId="0" applyFont="1"/>
    <xf numFmtId="49" fontId="7" fillId="0" borderId="1" xfId="0" applyNumberFormat="1" applyFont="1" applyBorder="1" applyAlignment="1" applyProtection="1">
      <alignment horizontal="center" vertical="center"/>
      <protection locked="0"/>
    </xf>
    <xf numFmtId="164" fontId="7" fillId="0" borderId="1" xfId="0" applyNumberFormat="1" applyFont="1" applyBorder="1" applyAlignment="1" applyProtection="1">
      <alignment horizontal="center" vertical="center"/>
      <protection locked="0"/>
    </xf>
    <xf numFmtId="42" fontId="7" fillId="0" borderId="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2" borderId="3" xfId="0" applyFill="1" applyBorder="1"/>
    <xf numFmtId="2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165" fontId="0" fillId="0" borderId="0" xfId="0" applyNumberFormat="1"/>
    <xf numFmtId="22" fontId="0" fillId="0" borderId="8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164" fontId="0" fillId="0" borderId="9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22" fontId="0" fillId="0" borderId="0" xfId="0" applyNumberFormat="1"/>
    <xf numFmtId="22" fontId="6" fillId="0" borderId="0" xfId="0" applyNumberFormat="1" applyFont="1"/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22" fontId="0" fillId="0" borderId="4" xfId="0" applyNumberFormat="1" applyBorder="1" applyAlignment="1">
      <alignment horizontal="center" vertical="center"/>
    </xf>
    <xf numFmtId="49" fontId="6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  <xf numFmtId="0" fontId="0" fillId="0" borderId="0" xfId="0" applyProtection="1"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0" fillId="0" borderId="3" xfId="0" applyBorder="1"/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9" fontId="3" fillId="0" borderId="0" xfId="2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22" fontId="3" fillId="0" borderId="0" xfId="0" applyNumberFormat="1" applyFont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4" fontId="6" fillId="0" borderId="0" xfId="0" applyNumberFormat="1" applyFont="1"/>
    <xf numFmtId="0" fontId="0" fillId="0" borderId="5" xfId="0" applyNumberForma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0" fillId="0" borderId="0" xfId="0" applyNumberFormat="1"/>
  </cellXfs>
  <cellStyles count="3">
    <cellStyle name="Moneda [0]" xfId="1" builtinId="7"/>
    <cellStyle name="Normal" xfId="0" builtinId="0"/>
    <cellStyle name="Porcentaje" xfId="2" builtinId="5"/>
  </cellStyles>
  <dxfs count="24"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5" formatCode="&quot;$&quot;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&quot;$&quot;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&quot;$&quot;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&quot;$&quot;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&quot;$&quot;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&quot;$&quot;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&quot;$&quot;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\x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\x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\x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la 1" pivot="0" count="0" xr9:uid="{21D437CC-AAD5-49B7-90FF-A6A7737B95C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0</xdr:row>
      <xdr:rowOff>95250</xdr:rowOff>
    </xdr:from>
    <xdr:to>
      <xdr:col>8</xdr:col>
      <xdr:colOff>180974</xdr:colOff>
      <xdr:row>9</xdr:row>
      <xdr:rowOff>276225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BF04D55-4122-017F-7C8E-E8BECD6964DE}"/>
            </a:ext>
          </a:extLst>
        </xdr:cNvPr>
        <xdr:cNvSpPr/>
      </xdr:nvSpPr>
      <xdr:spPr>
        <a:xfrm>
          <a:off x="609600" y="95250"/>
          <a:ext cx="5133974" cy="3105150"/>
        </a:xfrm>
        <a:prstGeom prst="roundRect">
          <a:avLst>
            <a:gd name="adj" fmla="val 1748"/>
          </a:avLst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 editAs="oneCell">
    <xdr:from>
      <xdr:col>1</xdr:col>
      <xdr:colOff>180975</xdr:colOff>
      <xdr:row>0</xdr:row>
      <xdr:rowOff>123825</xdr:rowOff>
    </xdr:from>
    <xdr:to>
      <xdr:col>1</xdr:col>
      <xdr:colOff>742950</xdr:colOff>
      <xdr:row>1</xdr:row>
      <xdr:rowOff>133350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D7274C8-545B-FD39-803F-657B62BB7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975" y="123825"/>
          <a:ext cx="561975" cy="561975"/>
        </a:xfrm>
        <a:prstGeom prst="rect">
          <a:avLst/>
        </a:prstGeom>
      </xdr:spPr>
    </xdr:pic>
    <xdr:clientData/>
  </xdr:twoCellAnchor>
  <xdr:twoCellAnchor>
    <xdr:from>
      <xdr:col>9</xdr:col>
      <xdr:colOff>657225</xdr:colOff>
      <xdr:row>1</xdr:row>
      <xdr:rowOff>161925</xdr:rowOff>
    </xdr:from>
    <xdr:to>
      <xdr:col>12</xdr:col>
      <xdr:colOff>133350</xdr:colOff>
      <xdr:row>3</xdr:row>
      <xdr:rowOff>47625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FAAF4B5-54EA-4D75-A1BD-2FCDD978D818}"/>
            </a:ext>
          </a:extLst>
        </xdr:cNvPr>
        <xdr:cNvSpPr/>
      </xdr:nvSpPr>
      <xdr:spPr>
        <a:xfrm>
          <a:off x="6981825" y="714375"/>
          <a:ext cx="2324100" cy="409575"/>
        </a:xfrm>
        <a:prstGeom prst="roundRect">
          <a:avLst>
            <a:gd name="adj" fmla="val 1748"/>
          </a:avLst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9</xdr:col>
      <xdr:colOff>638175</xdr:colOff>
      <xdr:row>3</xdr:row>
      <xdr:rowOff>285750</xdr:rowOff>
    </xdr:from>
    <xdr:to>
      <xdr:col>10</xdr:col>
      <xdr:colOff>933450</xdr:colOff>
      <xdr:row>5</xdr:row>
      <xdr:rowOff>19050</xdr:rowOff>
    </xdr:to>
    <xdr:sp macro="[0]!IMPRIM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9F64F75B-2821-E108-38DB-70CD75100979}"/>
            </a:ext>
          </a:extLst>
        </xdr:cNvPr>
        <xdr:cNvSpPr/>
      </xdr:nvSpPr>
      <xdr:spPr>
        <a:xfrm>
          <a:off x="6962775" y="1638300"/>
          <a:ext cx="1057275" cy="3619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IMPRIMIR</a:t>
          </a:r>
        </a:p>
      </xdr:txBody>
    </xdr:sp>
    <xdr:clientData fLocksWithSheet="0"/>
  </xdr:twoCellAnchor>
  <xdr:twoCellAnchor>
    <xdr:from>
      <xdr:col>11</xdr:col>
      <xdr:colOff>152400</xdr:colOff>
      <xdr:row>3</xdr:row>
      <xdr:rowOff>295275</xdr:rowOff>
    </xdr:from>
    <xdr:to>
      <xdr:col>12</xdr:col>
      <xdr:colOff>114300</xdr:colOff>
      <xdr:row>5</xdr:row>
      <xdr:rowOff>28575</xdr:rowOff>
    </xdr:to>
    <xdr:sp macro="[0]!LIMPIAR_BOLETA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469BD2C0-835D-4DB4-8B36-70C4D4D02706}"/>
            </a:ext>
          </a:extLst>
        </xdr:cNvPr>
        <xdr:cNvSpPr/>
      </xdr:nvSpPr>
      <xdr:spPr>
        <a:xfrm>
          <a:off x="8201025" y="1647825"/>
          <a:ext cx="1085850" cy="3619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LIMPIAR</a:t>
          </a:r>
        </a:p>
      </xdr:txBody>
    </xdr:sp>
    <xdr:clientData fLocksWithSheet="0"/>
  </xdr:twoCellAnchor>
  <xdr:twoCellAnchor>
    <xdr:from>
      <xdr:col>9</xdr:col>
      <xdr:colOff>190500</xdr:colOff>
      <xdr:row>1</xdr:row>
      <xdr:rowOff>66675</xdr:rowOff>
    </xdr:from>
    <xdr:to>
      <xdr:col>12</xdr:col>
      <xdr:colOff>504825</xdr:colOff>
      <xdr:row>5</xdr:row>
      <xdr:rowOff>123825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F43672F3-B9D9-4756-833F-2BC7C899672A}"/>
            </a:ext>
          </a:extLst>
        </xdr:cNvPr>
        <xdr:cNvSpPr/>
      </xdr:nvSpPr>
      <xdr:spPr>
        <a:xfrm>
          <a:off x="6515100" y="619125"/>
          <a:ext cx="3162300" cy="1171575"/>
        </a:xfrm>
        <a:prstGeom prst="roundRect">
          <a:avLst>
            <a:gd name="adj" fmla="val 1748"/>
          </a:avLst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9</xdr:col>
      <xdr:colOff>647700</xdr:colOff>
      <xdr:row>7</xdr:row>
      <xdr:rowOff>190500</xdr:rowOff>
    </xdr:from>
    <xdr:to>
      <xdr:col>12</xdr:col>
      <xdr:colOff>142875</xdr:colOff>
      <xdr:row>8</xdr:row>
      <xdr:rowOff>238125</xdr:rowOff>
    </xdr:to>
    <xdr:sp macro="[0]!GUARDAR_VENTA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D398912-046A-4642-B250-377E7E22CC48}"/>
            </a:ext>
          </a:extLst>
        </xdr:cNvPr>
        <xdr:cNvSpPr/>
      </xdr:nvSpPr>
      <xdr:spPr>
        <a:xfrm>
          <a:off x="6972300" y="2800350"/>
          <a:ext cx="2343150" cy="3619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GUARDAR</a:t>
          </a:r>
          <a:r>
            <a:rPr lang="es-CL" sz="1100" baseline="0"/>
            <a:t> VENTA</a:t>
          </a:r>
        </a:p>
      </xdr:txBody>
    </xdr:sp>
    <xdr:clientData fLocksWithSheet="0"/>
  </xdr:twoCellAnchor>
  <xdr:twoCellAnchor>
    <xdr:from>
      <xdr:col>1</xdr:col>
      <xdr:colOff>942975</xdr:colOff>
      <xdr:row>11</xdr:row>
      <xdr:rowOff>9525</xdr:rowOff>
    </xdr:from>
    <xdr:to>
      <xdr:col>7</xdr:col>
      <xdr:colOff>95250</xdr:colOff>
      <xdr:row>12</xdr:row>
      <xdr:rowOff>180975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233A320D-FEAF-48A2-8D12-C4D219EDB86C}"/>
            </a:ext>
          </a:extLst>
        </xdr:cNvPr>
        <xdr:cNvSpPr/>
      </xdr:nvSpPr>
      <xdr:spPr>
        <a:xfrm>
          <a:off x="1704975" y="3438525"/>
          <a:ext cx="2743200" cy="361950"/>
        </a:xfrm>
        <a:prstGeom prst="round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GENERAR</a:t>
          </a:r>
          <a:r>
            <a:rPr lang="es-CL" sz="1100" baseline="0"/>
            <a:t> RESUMEN DE VENTAS DIARIAS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66260</xdr:colOff>
      <xdr:row>0</xdr:row>
      <xdr:rowOff>0</xdr:rowOff>
    </xdr:from>
    <xdr:to>
      <xdr:col>3</xdr:col>
      <xdr:colOff>438978</xdr:colOff>
      <xdr:row>0</xdr:row>
      <xdr:rowOff>1507435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53EF546-E1C5-427B-A91E-FCEFF28E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25" y="0"/>
          <a:ext cx="2062370" cy="150743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FFFFB29A-15CD-410D-93DF-322B05583603}" autoFormatId="16" applyNumberFormats="0" applyBorderFormats="0" applyFontFormats="0" applyPatternFormats="0" applyAlignmentFormats="0" applyWidthHeightFormats="0">
  <queryTableRefresh nextId="6">
    <queryTableFields count="5">
      <queryTableField id="1" name="ID DE PRODUCTO" tableColumnId="1"/>
      <queryTableField id="2" name="NOMBRE DEL PRODUCTO" tableColumnId="2"/>
      <queryTableField id="3" name="PRECIO" tableColumnId="3"/>
      <queryTableField id="4" name="CATEGORÍA" tableColumnId="4"/>
      <queryTableField id="5" name="SUBCATEGORÍA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E194BB-5734-45E0-B031-0BFF61A13C32}" name="Tabla7" displayName="Tabla7" ref="A2:P4" totalsRowShown="0" headerRowDxfId="23" dataDxfId="21" headerRowBorderDxfId="22" tableBorderDxfId="20" totalsRowBorderDxfId="19">
  <autoFilter ref="A2:P4" xr:uid="{4EE194BB-5734-45E0-B031-0BFF61A13C32}"/>
  <tableColumns count="16">
    <tableColumn id="17" xr3:uid="{6E187E18-39D7-4D28-886F-37D1A96A629C}" name="CÓD DÍA" dataDxfId="0"/>
    <tableColumn id="1" xr3:uid="{51FF770E-744F-41EF-A47C-C9F69581D1AB}" name="FECHA DE VENTA" dataDxfId="18"/>
    <tableColumn id="2" xr3:uid="{6E31EBEE-C6E0-4FBF-9AF2-A40274A32329}" name="PRODUCTO 1" dataDxfId="17"/>
    <tableColumn id="3" xr3:uid="{9D14B33E-9E2D-489B-8728-BC7C9B3F2FD5}" name="PRODUCTO 2" dataDxfId="16"/>
    <tableColumn id="4" xr3:uid="{C6AF810B-6832-4213-9712-1350BB46DA24}" name="PRODUCTO 3" dataDxfId="15"/>
    <tableColumn id="5" xr3:uid="{D1F3C823-F3FA-4F51-B11C-D0E53FEFE3FD}" name="CANTIDAD (P1)" dataDxfId="14"/>
    <tableColumn id="6" xr3:uid="{7A8BDBF6-E28C-4E73-919E-6E968EDD029F}" name="CANTIDAD (P2)" dataDxfId="13"/>
    <tableColumn id="7" xr3:uid="{D94F6F6F-E02B-4C33-8105-5C008ABDE2D9}" name="CANTIDAD (P3)" dataDxfId="12"/>
    <tableColumn id="8" xr3:uid="{9FF4A23E-C981-4D17-992B-3FFA82AA56A8}" name="PRECIO (P1)" dataDxfId="11"/>
    <tableColumn id="9" xr3:uid="{05271C8F-1E3B-4513-95F0-FDF2AE15C256}" name="PRECIO (P2)" dataDxfId="10"/>
    <tableColumn id="10" xr3:uid="{03BE4C32-4D7A-446B-A7EB-DF82F55497A5}" name="PRECIO (P3)" dataDxfId="9"/>
    <tableColumn id="11" xr3:uid="{D608293A-EB54-4DBC-A0B6-2E6A72F45624}" name="TOTAL (P1)" dataDxfId="8"/>
    <tableColumn id="12" xr3:uid="{0C5A67D6-82B9-4423-8959-E9026C097B11}" name="TOTAL (P2)" dataDxfId="7"/>
    <tableColumn id="13" xr3:uid="{85254A38-49B1-47CF-9E9D-56B4E2AA687A}" name="TOTAL (P3)" dataDxfId="6"/>
    <tableColumn id="14" xr3:uid="{D833F689-EFBF-4DCA-952C-176805245715}" name="TOTAL VENTA" dataDxfId="5"/>
    <tableColumn id="15" xr3:uid="{E006B27E-958F-45CF-A0D5-866DA8B336AF}" name="MÉTODO DE PAGO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8F7E99-40A5-433A-B991-91723FA4AC74}" name="Tabla_PRODUCTOS" displayName="Tabla_PRODUCTOS" ref="A1:E65" tableType="queryTable" totalsRowShown="0">
  <autoFilter ref="A1:E65" xr:uid="{2E8F7E99-40A5-433A-B991-91723FA4AC74}"/>
  <tableColumns count="5">
    <tableColumn id="1" xr3:uid="{C5FD6147-0092-41C9-8A95-5C3606C3882B}" uniqueName="1" name="ID DE PRODUCTO" queryTableFieldId="1"/>
    <tableColumn id="2" xr3:uid="{A0EF53CA-3511-46E5-B57A-6849933C3725}" uniqueName="2" name="NOMBRE DEL PRODUCTO" queryTableFieldId="2" dataDxfId="3"/>
    <tableColumn id="3" xr3:uid="{E407C5C1-1E2C-4E76-96E6-F23B98EB3417}" uniqueName="3" name="PRECIO" queryTableFieldId="3"/>
    <tableColumn id="4" xr3:uid="{470DD4B3-1C79-4FC2-A3D5-A8740DEAE3E3}" uniqueName="4" name="CATEGORÍA" queryTableFieldId="4" dataDxfId="2"/>
    <tableColumn id="5" xr3:uid="{C4B28630-9964-48F0-A0AD-EA82C89C7CA9}" uniqueName="5" name="SUBCATEGORÍA" queryTableFieldId="5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C1CC5-62CF-4984-BBE9-626269251CD9}">
  <sheetPr codeName="Hoja1"/>
  <dimension ref="B1:O15"/>
  <sheetViews>
    <sheetView showGridLines="0" workbookViewId="0">
      <selection activeCell="Q3" sqref="Q3"/>
    </sheetView>
  </sheetViews>
  <sheetFormatPr baseColWidth="10" defaultRowHeight="15" x14ac:dyDescent="0.25"/>
  <cols>
    <col min="2" max="2" width="25.28515625" customWidth="1"/>
    <col min="3" max="3" width="2.85546875" customWidth="1"/>
    <col min="4" max="4" width="10.28515625" customWidth="1"/>
    <col min="5" max="5" width="2.85546875" customWidth="1"/>
    <col min="6" max="6" width="9.7109375" customWidth="1"/>
    <col min="7" max="7" width="2.85546875" customWidth="1"/>
    <col min="8" max="8" width="18.140625" customWidth="1"/>
    <col min="11" max="11" width="14.42578125" customWidth="1"/>
    <col min="12" max="12" width="16.85546875" customWidth="1"/>
    <col min="15" max="15" width="12" customWidth="1"/>
  </cols>
  <sheetData>
    <row r="1" spans="2:15" ht="43.5" customHeight="1" x14ac:dyDescent="0.25">
      <c r="B1" s="60" t="s">
        <v>6</v>
      </c>
      <c r="C1" s="60"/>
      <c r="D1" s="60"/>
      <c r="E1" s="60"/>
      <c r="F1" s="60"/>
      <c r="G1" s="60"/>
      <c r="H1" s="60"/>
    </row>
    <row r="2" spans="2:15" ht="16.5" customHeight="1" x14ac:dyDescent="0.25">
      <c r="B2" s="60"/>
      <c r="C2" s="60"/>
      <c r="D2" s="60"/>
      <c r="E2" s="60"/>
      <c r="F2" s="60"/>
      <c r="G2" s="60"/>
      <c r="H2" s="60"/>
    </row>
    <row r="3" spans="2:15" ht="24.95" customHeight="1" x14ac:dyDescent="0.25">
      <c r="B3" s="14" t="s">
        <v>4</v>
      </c>
      <c r="C3" s="15"/>
      <c r="D3" s="14" t="s">
        <v>5</v>
      </c>
      <c r="E3" s="15"/>
      <c r="F3" s="14" t="s">
        <v>3</v>
      </c>
      <c r="G3" s="15"/>
      <c r="H3" s="14" t="s">
        <v>83</v>
      </c>
      <c r="K3" s="16" t="s">
        <v>84</v>
      </c>
      <c r="L3" s="17">
        <f>BOLETA!D10</f>
        <v>2600</v>
      </c>
    </row>
    <row r="4" spans="2:15" ht="21.75" customHeight="1" x14ac:dyDescent="0.25">
      <c r="B4" s="15"/>
      <c r="C4" s="15"/>
      <c r="D4" s="15"/>
      <c r="E4" s="15"/>
      <c r="F4" s="15"/>
      <c r="G4" s="15"/>
      <c r="H4" s="15"/>
      <c r="I4" s="19"/>
      <c r="O4" s="19"/>
    </row>
    <row r="5" spans="2:15" ht="24.95" customHeight="1" x14ac:dyDescent="0.25">
      <c r="B5" s="20" t="s">
        <v>110</v>
      </c>
      <c r="C5" s="15"/>
      <c r="D5" s="21">
        <v>1</v>
      </c>
      <c r="E5" s="15"/>
      <c r="F5" s="22">
        <v>2600</v>
      </c>
      <c r="G5" s="15"/>
      <c r="H5" s="18">
        <f>(N5*F5)</f>
        <v>2600</v>
      </c>
      <c r="I5" s="19">
        <f>IF(H5=0,"",H5)</f>
        <v>2600</v>
      </c>
      <c r="N5" s="19">
        <f>IF(ISBLANK(D5),1,D5)</f>
        <v>1</v>
      </c>
      <c r="O5" s="19"/>
    </row>
    <row r="6" spans="2:15" ht="24.95" customHeight="1" x14ac:dyDescent="0.25">
      <c r="B6" s="15"/>
      <c r="C6" s="15"/>
      <c r="D6" s="15"/>
      <c r="E6" s="15"/>
      <c r="F6" s="15"/>
      <c r="G6" s="15"/>
      <c r="H6" s="15"/>
      <c r="I6" s="19"/>
      <c r="N6" s="19"/>
      <c r="O6" s="19"/>
    </row>
    <row r="7" spans="2:15" ht="24.95" customHeight="1" x14ac:dyDescent="0.25">
      <c r="B7" s="20" t="s">
        <v>85</v>
      </c>
      <c r="C7" s="15"/>
      <c r="D7" s="21"/>
      <c r="E7" s="15"/>
      <c r="F7" s="22"/>
      <c r="G7" s="15"/>
      <c r="H7" s="18">
        <f>(N7*F7)</f>
        <v>0</v>
      </c>
      <c r="I7" s="19" t="str">
        <f>IF(H7=0,"",H7)</f>
        <v/>
      </c>
      <c r="K7" s="23" t="s">
        <v>88</v>
      </c>
      <c r="L7" s="58"/>
      <c r="N7" s="19">
        <f>IF(ISBLANK(D7),1,D7)</f>
        <v>1</v>
      </c>
      <c r="O7" s="54" t="str">
        <f>B7</f>
        <v/>
      </c>
    </row>
    <row r="8" spans="2:15" ht="24.95" customHeight="1" x14ac:dyDescent="0.25">
      <c r="B8" s="15"/>
      <c r="C8" s="15"/>
      <c r="D8" s="15"/>
      <c r="E8" s="15"/>
      <c r="F8" s="15"/>
      <c r="G8" s="15"/>
      <c r="H8" s="15"/>
      <c r="I8" s="19"/>
      <c r="N8" s="19"/>
    </row>
    <row r="9" spans="2:15" ht="24.95" customHeight="1" x14ac:dyDescent="0.25">
      <c r="B9" s="20" t="s">
        <v>85</v>
      </c>
      <c r="C9" s="15"/>
      <c r="D9" s="21"/>
      <c r="E9" s="15"/>
      <c r="F9" s="22"/>
      <c r="G9" s="15"/>
      <c r="H9" s="18">
        <f>(N9*F9)</f>
        <v>0</v>
      </c>
      <c r="I9" s="19" t="str">
        <f>IF(H9=0,"",H9)</f>
        <v/>
      </c>
      <c r="N9" s="19">
        <f>IF(ISBLANK(D9),1,D9)</f>
        <v>1</v>
      </c>
      <c r="O9" s="54" t="str">
        <f>B9</f>
        <v/>
      </c>
    </row>
    <row r="10" spans="2:15" ht="24.95" customHeight="1" x14ac:dyDescent="0.25"/>
    <row r="11" spans="2:15" x14ac:dyDescent="0.25">
      <c r="B11" s="70">
        <f ca="1">TODAY()</f>
        <v>45049</v>
      </c>
    </row>
    <row r="12" spans="2:15" x14ac:dyDescent="0.25">
      <c r="B12" s="45">
        <f ca="1">BOLETA!B4</f>
        <v>45049.490764236114</v>
      </c>
    </row>
    <row r="15" spans="2:15" x14ac:dyDescent="0.25">
      <c r="J15" s="57"/>
    </row>
  </sheetData>
  <sheetProtection selectLockedCells="1"/>
  <mergeCells count="1">
    <mergeCell ref="B1:H2"/>
  </mergeCells>
  <dataValidations count="2">
    <dataValidation operator="greaterThanOrEqual" allowBlank="1" showInputMessage="1" showErrorMessage="1" sqref="D5" xr:uid="{5CAE070C-BDF7-446D-A8AE-3FBC2A4F5F44}"/>
    <dataValidation type="list" errorStyle="information" showInputMessage="1" showErrorMessage="1" errorTitle="SELECCIONE UNA OPCIÓN VÁLIDA" promptTitle="SELECCIONAR" sqref="O5:O7" xr:uid="{8D0629FE-8783-462A-9A36-89B3321F9F91}">
      <formula1>$O$5:$O$7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showInputMessage="1" showErrorMessage="1" errorTitle="ERROR" error="Seleccione un Método de Pago Válido!" promptTitle="MÉTODO" prompt="Seleccione un método de pago" xr:uid="{8D066DC8-00F4-475D-ACDE-D3B53C4A788D}">
          <x14:formula1>
            <xm:f>MÉTODOS_DE_PAGO!$A$2:$A$6</xm:f>
          </x14:formula1>
          <xm:sqref>L7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66C3-2963-49A2-903B-019F21460AC2}">
  <sheetPr codeName="Hoja2"/>
  <dimension ref="A2:P10"/>
  <sheetViews>
    <sheetView zoomScaleNormal="100" workbookViewId="0">
      <selection activeCell="C7" sqref="C7"/>
    </sheetView>
  </sheetViews>
  <sheetFormatPr baseColWidth="10" defaultRowHeight="15" x14ac:dyDescent="0.25"/>
  <cols>
    <col min="1" max="1" width="10.28515625" style="73" customWidth="1"/>
    <col min="2" max="2" width="18.5703125" style="44" customWidth="1"/>
    <col min="3" max="5" width="16.42578125" style="29" customWidth="1"/>
    <col min="6" max="8" width="14.28515625" style="38" customWidth="1"/>
    <col min="9" max="11" width="11.42578125" style="30" customWidth="1"/>
    <col min="12" max="14" width="12.140625" style="30" customWidth="1"/>
    <col min="15" max="15" width="15" style="30" customWidth="1"/>
    <col min="16" max="16" width="18.28515625" style="29" customWidth="1"/>
  </cols>
  <sheetData>
    <row r="2" spans="1:16" x14ac:dyDescent="0.25">
      <c r="A2" s="71" t="s">
        <v>109</v>
      </c>
      <c r="B2" s="53" t="s">
        <v>86</v>
      </c>
      <c r="C2" s="33" t="s">
        <v>94</v>
      </c>
      <c r="D2" s="34" t="s">
        <v>95</v>
      </c>
      <c r="E2" s="35" t="s">
        <v>96</v>
      </c>
      <c r="F2" s="36" t="s">
        <v>97</v>
      </c>
      <c r="G2" s="39" t="s">
        <v>98</v>
      </c>
      <c r="H2" s="40" t="s">
        <v>99</v>
      </c>
      <c r="I2" s="41" t="s">
        <v>100</v>
      </c>
      <c r="J2" s="42" t="s">
        <v>101</v>
      </c>
      <c r="K2" s="43" t="s">
        <v>102</v>
      </c>
      <c r="L2" s="41" t="s">
        <v>103</v>
      </c>
      <c r="M2" s="42" t="s">
        <v>104</v>
      </c>
      <c r="N2" s="43" t="s">
        <v>105</v>
      </c>
      <c r="O2" s="32" t="s">
        <v>84</v>
      </c>
      <c r="P2" s="33" t="s">
        <v>87</v>
      </c>
    </row>
    <row r="3" spans="1:16" x14ac:dyDescent="0.25">
      <c r="A3" s="72"/>
      <c r="B3" s="31"/>
      <c r="C3" s="46"/>
      <c r="D3" s="67"/>
      <c r="E3" s="47"/>
      <c r="F3" s="48"/>
      <c r="G3" s="68"/>
      <c r="H3" s="49"/>
      <c r="I3" s="50"/>
      <c r="J3" s="69"/>
      <c r="K3" s="51"/>
      <c r="L3" s="50"/>
      <c r="M3" s="69"/>
      <c r="N3" s="51"/>
      <c r="O3" s="52"/>
      <c r="P3" s="46"/>
    </row>
    <row r="4" spans="1:16" x14ac:dyDescent="0.25">
      <c r="A4" s="72">
        <v>45049</v>
      </c>
      <c r="B4" s="31">
        <v>45049.488289930552</v>
      </c>
      <c r="C4" s="46" t="s">
        <v>110</v>
      </c>
      <c r="D4" s="67" t="s">
        <v>85</v>
      </c>
      <c r="E4" s="47" t="s">
        <v>85</v>
      </c>
      <c r="F4" s="48">
        <v>1</v>
      </c>
      <c r="G4" s="68" t="s">
        <v>85</v>
      </c>
      <c r="H4" s="49" t="s">
        <v>85</v>
      </c>
      <c r="I4" s="50">
        <v>2600</v>
      </c>
      <c r="J4" s="69"/>
      <c r="K4" s="51"/>
      <c r="L4" s="50">
        <v>2600</v>
      </c>
      <c r="M4" s="69" t="s">
        <v>85</v>
      </c>
      <c r="N4" s="51" t="s">
        <v>85</v>
      </c>
      <c r="O4" s="52">
        <v>2600</v>
      </c>
      <c r="P4" s="46"/>
    </row>
    <row r="5" spans="1:16" x14ac:dyDescent="0.25">
      <c r="B5" s="27"/>
      <c r="C5" s="28"/>
      <c r="D5" s="28"/>
      <c r="E5" s="28"/>
      <c r="F5" s="37"/>
      <c r="G5" s="37"/>
      <c r="H5" s="37"/>
    </row>
    <row r="6" spans="1:16" x14ac:dyDescent="0.25">
      <c r="B6" s="27"/>
      <c r="C6" s="28"/>
      <c r="D6" s="28"/>
      <c r="E6" s="28"/>
      <c r="F6" s="37"/>
      <c r="G6" s="37"/>
      <c r="H6" s="37"/>
    </row>
    <row r="7" spans="1:16" x14ac:dyDescent="0.25">
      <c r="B7" s="27"/>
      <c r="C7" s="28"/>
      <c r="D7" s="28"/>
      <c r="E7" s="28"/>
      <c r="F7" s="37"/>
      <c r="G7" s="37"/>
      <c r="H7" s="37"/>
    </row>
    <row r="8" spans="1:16" x14ac:dyDescent="0.25">
      <c r="B8" s="27"/>
      <c r="C8" s="28"/>
      <c r="D8" s="28"/>
      <c r="E8" s="28"/>
      <c r="F8" s="37"/>
      <c r="G8" s="37"/>
      <c r="H8" s="37"/>
    </row>
    <row r="9" spans="1:16" x14ac:dyDescent="0.25">
      <c r="B9" s="27"/>
      <c r="C9" s="28"/>
      <c r="D9" s="28"/>
      <c r="E9" s="28"/>
      <c r="F9" s="37"/>
      <c r="G9" s="37"/>
      <c r="H9" s="37"/>
    </row>
    <row r="10" spans="1:16" x14ac:dyDescent="0.25">
      <c r="B10" s="27"/>
      <c r="C10" s="28"/>
      <c r="D10" s="28"/>
      <c r="E10" s="28"/>
      <c r="F10" s="37"/>
      <c r="G10" s="37"/>
      <c r="H10" s="3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EF867-DCE3-435F-BA68-B220E495A054}">
  <sheetPr codeName="Hoja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D669E-536F-4DBE-B291-A6299BE2A0C0}">
  <sheetPr codeName="Hoja3"/>
  <dimension ref="B1:F20"/>
  <sheetViews>
    <sheetView showGridLines="0" zoomScale="115" zoomScaleNormal="115" workbookViewId="0">
      <selection activeCell="B8" activeCellId="2" sqref="B6 B7 B8"/>
    </sheetView>
  </sheetViews>
  <sheetFormatPr baseColWidth="10" defaultRowHeight="12" x14ac:dyDescent="0.2"/>
  <cols>
    <col min="1" max="1" width="0.28515625" style="1" customWidth="1"/>
    <col min="2" max="2" width="4.7109375" style="2" customWidth="1"/>
    <col min="3" max="3" width="20.5703125" style="1" customWidth="1"/>
    <col min="4" max="4" width="8" style="1" customWidth="1"/>
    <col min="5" max="5" width="9.5703125" style="1" customWidth="1"/>
    <col min="6" max="16384" width="11.42578125" style="1"/>
  </cols>
  <sheetData>
    <row r="1" spans="2:6" ht="126" customHeight="1" x14ac:dyDescent="0.2">
      <c r="B1" s="61"/>
      <c r="C1" s="61"/>
      <c r="D1" s="61"/>
      <c r="E1" s="2"/>
    </row>
    <row r="2" spans="2:6" x14ac:dyDescent="0.2">
      <c r="B2" s="64" t="s">
        <v>6</v>
      </c>
      <c r="C2" s="65"/>
      <c r="D2" s="65"/>
      <c r="E2" s="2"/>
    </row>
    <row r="3" spans="2:6" x14ac:dyDescent="0.2">
      <c r="B3" s="64"/>
      <c r="C3" s="64"/>
      <c r="D3" s="64"/>
      <c r="E3" s="6"/>
    </row>
    <row r="4" spans="2:6" x14ac:dyDescent="0.2">
      <c r="B4" s="66">
        <f ca="1">NOW()</f>
        <v>45049.490764236114</v>
      </c>
      <c r="C4" s="65"/>
      <c r="D4" s="65"/>
      <c r="E4" s="5"/>
    </row>
    <row r="5" spans="2:6" x14ac:dyDescent="0.2">
      <c r="B5" s="66"/>
      <c r="C5" s="66"/>
      <c r="D5" s="66"/>
    </row>
    <row r="6" spans="2:6" x14ac:dyDescent="0.2">
      <c r="B6" s="10">
        <f>CREAR_BOLETA!N5</f>
        <v>1</v>
      </c>
      <c r="C6" s="11" t="str">
        <f>CREAR_BOLETA!B5</f>
        <v>CAPUCCINO ESCENCIA</v>
      </c>
      <c r="D6" s="12">
        <f>CREAR_BOLETA!H5</f>
        <v>2600</v>
      </c>
    </row>
    <row r="7" spans="2:6" x14ac:dyDescent="0.2">
      <c r="B7" s="10" t="str">
        <f>IF(CREAR_BOLETA!B7="","",CREAR_BOLETA!N7)</f>
        <v/>
      </c>
      <c r="C7" s="55" t="str">
        <f>IF(CREAR_BOLETA!O7=0,"",CREAR_BOLETA!B7)</f>
        <v/>
      </c>
      <c r="D7" s="13" t="str">
        <f>IF(B7="","",CREAR_BOLETA!H7)</f>
        <v/>
      </c>
    </row>
    <row r="8" spans="2:6" x14ac:dyDescent="0.2">
      <c r="B8" s="10" t="str">
        <f>IF(CREAR_BOLETA!B9="","",CREAR_BOLETA!N9)</f>
        <v/>
      </c>
      <c r="C8" s="56" t="str">
        <f>IF(CREAR_BOLETA!O9=0,"",CREAR_BOLETA!B9)</f>
        <v/>
      </c>
      <c r="D8" s="13" t="str">
        <f>IF(B8="","",CREAR_BOLETA!H9)</f>
        <v/>
      </c>
    </row>
    <row r="9" spans="2:6" x14ac:dyDescent="0.2">
      <c r="B9" s="62"/>
      <c r="C9" s="62"/>
      <c r="D9" s="62"/>
    </row>
    <row r="10" spans="2:6" x14ac:dyDescent="0.2">
      <c r="B10" s="7"/>
      <c r="C10" s="8" t="s">
        <v>0</v>
      </c>
      <c r="D10" s="9">
        <f>SUM(D6:D8)</f>
        <v>2600</v>
      </c>
    </row>
    <row r="11" spans="2:6" x14ac:dyDescent="0.2">
      <c r="B11" s="4"/>
      <c r="C11" s="4"/>
      <c r="D11" s="4"/>
      <c r="E11" s="4"/>
    </row>
    <row r="12" spans="2:6" x14ac:dyDescent="0.2">
      <c r="B12" s="4"/>
      <c r="C12" s="4"/>
      <c r="E12" s="4"/>
      <c r="F12" s="4"/>
    </row>
    <row r="13" spans="2:6" x14ac:dyDescent="0.2">
      <c r="B13" s="65" t="s">
        <v>93</v>
      </c>
      <c r="C13" s="65"/>
      <c r="D13" s="65"/>
      <c r="E13" s="4"/>
    </row>
    <row r="14" spans="2:6" x14ac:dyDescent="0.2">
      <c r="B14" s="65" t="str">
        <f>IF(CREAR_BOLETA!L7="","",CREAR_BOLETA!L7)</f>
        <v/>
      </c>
      <c r="C14" s="65"/>
      <c r="D14" s="65"/>
      <c r="E14" s="3"/>
    </row>
    <row r="15" spans="2:6" x14ac:dyDescent="0.2">
      <c r="B15" s="63"/>
      <c r="C15" s="63"/>
      <c r="D15" s="63"/>
      <c r="E15" s="3"/>
    </row>
    <row r="16" spans="2:6" x14ac:dyDescent="0.2">
      <c r="B16" s="63" t="s">
        <v>1</v>
      </c>
      <c r="C16" s="63"/>
      <c r="D16" s="63"/>
    </row>
    <row r="17" spans="2:4" ht="15" customHeight="1" x14ac:dyDescent="0.2">
      <c r="B17" s="63"/>
      <c r="C17" s="63"/>
      <c r="D17" s="63"/>
    </row>
    <row r="18" spans="2:4" x14ac:dyDescent="0.2">
      <c r="B18" s="63"/>
      <c r="C18" s="63"/>
      <c r="D18" s="63"/>
    </row>
    <row r="19" spans="2:4" x14ac:dyDescent="0.2">
      <c r="B19" s="61" t="s">
        <v>2</v>
      </c>
      <c r="C19" s="61"/>
      <c r="D19" s="61"/>
    </row>
    <row r="20" spans="2:4" x14ac:dyDescent="0.2">
      <c r="B20" s="61"/>
      <c r="C20" s="61"/>
      <c r="D20" s="61"/>
    </row>
  </sheetData>
  <sheetProtection selectLockedCells="1" selectUnlockedCells="1"/>
  <mergeCells count="11">
    <mergeCell ref="B19:D20"/>
    <mergeCell ref="B9:D9"/>
    <mergeCell ref="B16:D18"/>
    <mergeCell ref="B1:D1"/>
    <mergeCell ref="B2:D2"/>
    <mergeCell ref="B3:D3"/>
    <mergeCell ref="B4:D4"/>
    <mergeCell ref="B5:D5"/>
    <mergeCell ref="B13:D13"/>
    <mergeCell ref="B14:D14"/>
    <mergeCell ref="B15:D15"/>
  </mergeCells>
  <pageMargins left="0.25" right="0.25" top="0.75" bottom="0.75" header="0.3" footer="0.3"/>
  <pageSetup paperSize="124" orientation="portrait" horizontalDpi="203" verticalDpi="20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B2AC-B50F-4172-BE58-70510054049E}">
  <sheetPr codeName="Hoja10"/>
  <dimension ref="B3"/>
  <sheetViews>
    <sheetView tabSelected="1" workbookViewId="0">
      <selection activeCell="L12" sqref="L12"/>
    </sheetView>
  </sheetViews>
  <sheetFormatPr baseColWidth="10" defaultRowHeight="15" x14ac:dyDescent="0.25"/>
  <sheetData>
    <row r="3" spans="2:2" x14ac:dyDescent="0.25">
      <c r="B3" t="e" cm="1">
        <f t="array" ref="B3">_xlfn._xlws.FILTER(Tabla7[],Tabla7[])</f>
        <v>#VALUE!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14A89-41B1-49DE-B3BC-28C648FE25F9}">
  <sheetPr codeName="Hoja8"/>
  <dimension ref="B2:C2"/>
  <sheetViews>
    <sheetView workbookViewId="0">
      <selection activeCell="D2" sqref="D2"/>
    </sheetView>
  </sheetViews>
  <sheetFormatPr baseColWidth="10" defaultRowHeight="15" x14ac:dyDescent="0.25"/>
  <sheetData>
    <row r="2" spans="2:3" x14ac:dyDescent="0.25">
      <c r="B2" t="s">
        <v>107</v>
      </c>
      <c r="C2" t="s">
        <v>108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BDFCD-C191-4D1C-941E-95AA60A2B733}">
  <sheetPr codeName="Hoja9"/>
  <dimension ref="B2:C2"/>
  <sheetViews>
    <sheetView workbookViewId="0">
      <selection activeCell="B2" sqref="B2"/>
    </sheetView>
  </sheetViews>
  <sheetFormatPr baseColWidth="10" defaultRowHeight="15" x14ac:dyDescent="0.25"/>
  <sheetData>
    <row r="2" spans="2:3" x14ac:dyDescent="0.25">
      <c r="B2" t="s">
        <v>107</v>
      </c>
      <c r="C2" t="s">
        <v>108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6E47C-6086-446B-B172-1D7FE1885D5D}">
  <sheetPr codeName="Hoja4"/>
  <dimension ref="A1:E65"/>
  <sheetViews>
    <sheetView workbookViewId="0">
      <selection activeCell="F14" sqref="F14"/>
    </sheetView>
  </sheetViews>
  <sheetFormatPr baseColWidth="10" defaultRowHeight="15" x14ac:dyDescent="0.25"/>
  <cols>
    <col min="1" max="1" width="18.42578125" bestFit="1" customWidth="1"/>
    <col min="2" max="2" width="39.7109375" bestFit="1" customWidth="1"/>
    <col min="3" max="3" width="9.7109375" bestFit="1" customWidth="1"/>
    <col min="4" max="4" width="21.42578125" bestFit="1" customWidth="1"/>
    <col min="5" max="5" width="17.140625" bestFit="1" customWidth="1"/>
  </cols>
  <sheetData>
    <row r="1" spans="1:5" x14ac:dyDescent="0.25">
      <c r="A1" t="s">
        <v>7</v>
      </c>
      <c r="B1" t="s">
        <v>8</v>
      </c>
      <c r="C1" t="s">
        <v>3</v>
      </c>
      <c r="D1" t="s">
        <v>9</v>
      </c>
      <c r="E1" t="s">
        <v>10</v>
      </c>
    </row>
    <row r="2" spans="1:5" x14ac:dyDescent="0.25">
      <c r="A2">
        <v>1</v>
      </c>
      <c r="B2" t="s">
        <v>11</v>
      </c>
      <c r="C2">
        <v>2600</v>
      </c>
      <c r="D2" t="s">
        <v>12</v>
      </c>
      <c r="E2" t="s">
        <v>11</v>
      </c>
    </row>
    <row r="3" spans="1:5" x14ac:dyDescent="0.25">
      <c r="A3">
        <v>2</v>
      </c>
      <c r="B3" t="s">
        <v>13</v>
      </c>
      <c r="C3">
        <v>2600</v>
      </c>
      <c r="D3" t="s">
        <v>12</v>
      </c>
      <c r="E3" t="s">
        <v>11</v>
      </c>
    </row>
    <row r="4" spans="1:5" x14ac:dyDescent="0.25">
      <c r="A4">
        <v>3</v>
      </c>
      <c r="B4" t="s">
        <v>14</v>
      </c>
      <c r="C4">
        <v>2600</v>
      </c>
      <c r="D4" t="s">
        <v>12</v>
      </c>
      <c r="E4" t="s">
        <v>11</v>
      </c>
    </row>
    <row r="5" spans="1:5" x14ac:dyDescent="0.25">
      <c r="A5">
        <v>4</v>
      </c>
      <c r="B5" t="s">
        <v>15</v>
      </c>
      <c r="C5">
        <v>2800</v>
      </c>
      <c r="D5" t="s">
        <v>12</v>
      </c>
      <c r="E5" t="s">
        <v>11</v>
      </c>
    </row>
    <row r="6" spans="1:5" x14ac:dyDescent="0.25">
      <c r="A6">
        <v>5</v>
      </c>
      <c r="B6" t="s">
        <v>16</v>
      </c>
      <c r="C6">
        <v>2800</v>
      </c>
      <c r="D6" t="s">
        <v>12</v>
      </c>
      <c r="E6" t="s">
        <v>11</v>
      </c>
    </row>
    <row r="7" spans="1:5" x14ac:dyDescent="0.25">
      <c r="A7">
        <v>6</v>
      </c>
      <c r="B7" t="s">
        <v>17</v>
      </c>
      <c r="C7">
        <v>2800</v>
      </c>
      <c r="D7" t="s">
        <v>12</v>
      </c>
      <c r="E7" t="s">
        <v>11</v>
      </c>
    </row>
    <row r="8" spans="1:5" x14ac:dyDescent="0.25">
      <c r="A8">
        <v>7</v>
      </c>
      <c r="B8" t="s">
        <v>18</v>
      </c>
      <c r="C8">
        <v>2200</v>
      </c>
      <c r="D8" t="s">
        <v>12</v>
      </c>
      <c r="E8" t="s">
        <v>18</v>
      </c>
    </row>
    <row r="9" spans="1:5" x14ac:dyDescent="0.25">
      <c r="A9">
        <v>8</v>
      </c>
      <c r="B9" t="s">
        <v>19</v>
      </c>
      <c r="C9">
        <v>2200</v>
      </c>
      <c r="D9" t="s">
        <v>12</v>
      </c>
      <c r="E9" t="s">
        <v>18</v>
      </c>
    </row>
    <row r="10" spans="1:5" x14ac:dyDescent="0.25">
      <c r="A10">
        <v>9</v>
      </c>
      <c r="B10" t="s">
        <v>20</v>
      </c>
      <c r="C10">
        <v>2500</v>
      </c>
      <c r="D10" t="s">
        <v>12</v>
      </c>
      <c r="E10" t="s">
        <v>18</v>
      </c>
    </row>
    <row r="11" spans="1:5" x14ac:dyDescent="0.25">
      <c r="A11">
        <v>10</v>
      </c>
      <c r="B11" t="s">
        <v>21</v>
      </c>
      <c r="C11">
        <v>2700</v>
      </c>
      <c r="D11" t="s">
        <v>12</v>
      </c>
      <c r="E11" t="s">
        <v>18</v>
      </c>
    </row>
    <row r="12" spans="1:5" x14ac:dyDescent="0.25">
      <c r="A12">
        <v>11</v>
      </c>
      <c r="B12" t="s">
        <v>22</v>
      </c>
      <c r="C12">
        <v>2800</v>
      </c>
      <c r="D12" t="s">
        <v>12</v>
      </c>
      <c r="E12" t="s">
        <v>22</v>
      </c>
    </row>
    <row r="13" spans="1:5" x14ac:dyDescent="0.25">
      <c r="A13">
        <v>12</v>
      </c>
      <c r="B13" t="s">
        <v>23</v>
      </c>
      <c r="C13">
        <v>2800</v>
      </c>
      <c r="D13" t="s">
        <v>12</v>
      </c>
      <c r="E13" t="s">
        <v>22</v>
      </c>
    </row>
    <row r="14" spans="1:5" x14ac:dyDescent="0.25">
      <c r="A14">
        <v>13</v>
      </c>
      <c r="B14" t="s">
        <v>24</v>
      </c>
      <c r="C14">
        <v>2800</v>
      </c>
      <c r="D14" t="s">
        <v>12</v>
      </c>
      <c r="E14" t="s">
        <v>22</v>
      </c>
    </row>
    <row r="15" spans="1:5" x14ac:dyDescent="0.25">
      <c r="A15">
        <v>14</v>
      </c>
      <c r="B15" t="s">
        <v>25</v>
      </c>
      <c r="C15">
        <v>3100</v>
      </c>
      <c r="D15" t="s">
        <v>12</v>
      </c>
      <c r="E15" t="s">
        <v>22</v>
      </c>
    </row>
    <row r="16" spans="1:5" x14ac:dyDescent="0.25">
      <c r="A16">
        <v>15</v>
      </c>
      <c r="B16" t="s">
        <v>26</v>
      </c>
      <c r="C16">
        <v>1600</v>
      </c>
      <c r="D16" t="s">
        <v>12</v>
      </c>
      <c r="E16" t="s">
        <v>26</v>
      </c>
    </row>
    <row r="17" spans="1:5" x14ac:dyDescent="0.25">
      <c r="A17">
        <v>16</v>
      </c>
      <c r="B17" t="s">
        <v>27</v>
      </c>
      <c r="C17">
        <v>1700</v>
      </c>
      <c r="D17" t="s">
        <v>12</v>
      </c>
      <c r="E17" t="s">
        <v>27</v>
      </c>
    </row>
    <row r="18" spans="1:5" x14ac:dyDescent="0.25">
      <c r="A18">
        <v>17</v>
      </c>
      <c r="B18" t="s">
        <v>28</v>
      </c>
      <c r="C18">
        <v>1900</v>
      </c>
      <c r="D18" t="s">
        <v>12</v>
      </c>
      <c r="E18" t="s">
        <v>26</v>
      </c>
    </row>
    <row r="19" spans="1:5" x14ac:dyDescent="0.25">
      <c r="A19">
        <v>18</v>
      </c>
      <c r="B19" t="s">
        <v>29</v>
      </c>
      <c r="C19">
        <v>2200</v>
      </c>
      <c r="D19" t="s">
        <v>12</v>
      </c>
      <c r="E19" t="s">
        <v>29</v>
      </c>
    </row>
    <row r="20" spans="1:5" x14ac:dyDescent="0.25">
      <c r="A20">
        <v>19</v>
      </c>
      <c r="B20" t="s">
        <v>30</v>
      </c>
      <c r="C20">
        <v>2800</v>
      </c>
      <c r="D20" t="s">
        <v>12</v>
      </c>
      <c r="E20" t="s">
        <v>29</v>
      </c>
    </row>
    <row r="21" spans="1:5" x14ac:dyDescent="0.25">
      <c r="A21">
        <v>20</v>
      </c>
      <c r="B21" t="s">
        <v>31</v>
      </c>
      <c r="C21">
        <v>2500</v>
      </c>
      <c r="D21" t="s">
        <v>32</v>
      </c>
      <c r="E21" t="s">
        <v>33</v>
      </c>
    </row>
    <row r="22" spans="1:5" x14ac:dyDescent="0.25">
      <c r="A22">
        <v>21</v>
      </c>
      <c r="B22" t="s">
        <v>34</v>
      </c>
      <c r="C22">
        <v>2500</v>
      </c>
      <c r="D22" t="s">
        <v>32</v>
      </c>
      <c r="E22" t="s">
        <v>33</v>
      </c>
    </row>
    <row r="23" spans="1:5" x14ac:dyDescent="0.25">
      <c r="A23">
        <v>22</v>
      </c>
      <c r="B23" t="s">
        <v>35</v>
      </c>
      <c r="C23">
        <v>2500</v>
      </c>
      <c r="D23" t="s">
        <v>32</v>
      </c>
      <c r="E23" t="s">
        <v>33</v>
      </c>
    </row>
    <row r="24" spans="1:5" x14ac:dyDescent="0.25">
      <c r="A24">
        <v>23</v>
      </c>
      <c r="B24" t="s">
        <v>36</v>
      </c>
      <c r="C24">
        <v>2000</v>
      </c>
      <c r="D24" t="s">
        <v>32</v>
      </c>
      <c r="E24" t="s">
        <v>33</v>
      </c>
    </row>
    <row r="25" spans="1:5" x14ac:dyDescent="0.25">
      <c r="A25">
        <v>24</v>
      </c>
      <c r="B25" t="s">
        <v>37</v>
      </c>
      <c r="C25">
        <v>2000</v>
      </c>
      <c r="D25" t="s">
        <v>33</v>
      </c>
      <c r="E25" t="s">
        <v>33</v>
      </c>
    </row>
    <row r="26" spans="1:5" x14ac:dyDescent="0.25">
      <c r="A26">
        <v>25</v>
      </c>
      <c r="B26" t="s">
        <v>38</v>
      </c>
      <c r="C26">
        <v>2500</v>
      </c>
      <c r="D26" t="s">
        <v>33</v>
      </c>
      <c r="E26" t="s">
        <v>33</v>
      </c>
    </row>
    <row r="27" spans="1:5" x14ac:dyDescent="0.25">
      <c r="A27">
        <v>26</v>
      </c>
      <c r="B27" t="s">
        <v>39</v>
      </c>
      <c r="C27">
        <v>1200</v>
      </c>
      <c r="D27" t="s">
        <v>33</v>
      </c>
      <c r="E27" t="s">
        <v>33</v>
      </c>
    </row>
    <row r="28" spans="1:5" x14ac:dyDescent="0.25">
      <c r="A28">
        <v>27</v>
      </c>
      <c r="B28" t="s">
        <v>40</v>
      </c>
      <c r="C28">
        <v>1800</v>
      </c>
      <c r="D28" t="s">
        <v>41</v>
      </c>
      <c r="E28" t="s">
        <v>41</v>
      </c>
    </row>
    <row r="29" spans="1:5" x14ac:dyDescent="0.25">
      <c r="A29">
        <v>28</v>
      </c>
      <c r="B29" t="s">
        <v>42</v>
      </c>
      <c r="C29">
        <v>2700</v>
      </c>
      <c r="D29" t="s">
        <v>43</v>
      </c>
      <c r="E29" t="s">
        <v>11</v>
      </c>
    </row>
    <row r="30" spans="1:5" x14ac:dyDescent="0.25">
      <c r="A30">
        <v>29</v>
      </c>
      <c r="B30" t="s">
        <v>44</v>
      </c>
      <c r="C30">
        <v>3100</v>
      </c>
      <c r="D30" t="s">
        <v>43</v>
      </c>
      <c r="E30" t="s">
        <v>11</v>
      </c>
    </row>
    <row r="31" spans="1:5" x14ac:dyDescent="0.25">
      <c r="A31">
        <v>30</v>
      </c>
      <c r="B31" t="s">
        <v>45</v>
      </c>
      <c r="C31">
        <v>3100</v>
      </c>
      <c r="D31" t="s">
        <v>43</v>
      </c>
      <c r="E31" t="s">
        <v>11</v>
      </c>
    </row>
    <row r="32" spans="1:5" x14ac:dyDescent="0.25">
      <c r="A32">
        <v>31</v>
      </c>
      <c r="B32" t="s">
        <v>46</v>
      </c>
      <c r="C32">
        <v>3300</v>
      </c>
      <c r="D32" t="s">
        <v>43</v>
      </c>
      <c r="E32" t="s">
        <v>11</v>
      </c>
    </row>
    <row r="33" spans="1:5" x14ac:dyDescent="0.25">
      <c r="A33">
        <v>32</v>
      </c>
      <c r="B33" t="s">
        <v>47</v>
      </c>
      <c r="C33">
        <v>3300</v>
      </c>
      <c r="D33" t="s">
        <v>43</v>
      </c>
      <c r="E33" t="s">
        <v>11</v>
      </c>
    </row>
    <row r="34" spans="1:5" x14ac:dyDescent="0.25">
      <c r="A34">
        <v>33</v>
      </c>
      <c r="B34" t="s">
        <v>48</v>
      </c>
      <c r="C34">
        <v>3300</v>
      </c>
      <c r="D34" t="s">
        <v>43</v>
      </c>
      <c r="E34" t="s">
        <v>11</v>
      </c>
    </row>
    <row r="35" spans="1:5" x14ac:dyDescent="0.25">
      <c r="A35">
        <v>34</v>
      </c>
      <c r="B35" t="s">
        <v>49</v>
      </c>
      <c r="C35">
        <v>2700</v>
      </c>
      <c r="D35" t="s">
        <v>43</v>
      </c>
      <c r="E35" t="s">
        <v>18</v>
      </c>
    </row>
    <row r="36" spans="1:5" x14ac:dyDescent="0.25">
      <c r="A36">
        <v>35</v>
      </c>
      <c r="B36" t="s">
        <v>50</v>
      </c>
      <c r="C36">
        <v>2700</v>
      </c>
      <c r="D36" t="s">
        <v>43</v>
      </c>
      <c r="E36" t="s">
        <v>18</v>
      </c>
    </row>
    <row r="37" spans="1:5" x14ac:dyDescent="0.25">
      <c r="A37">
        <v>36</v>
      </c>
      <c r="B37" t="s">
        <v>51</v>
      </c>
      <c r="C37">
        <v>3000</v>
      </c>
      <c r="D37" t="s">
        <v>43</v>
      </c>
      <c r="E37" t="s">
        <v>18</v>
      </c>
    </row>
    <row r="38" spans="1:5" x14ac:dyDescent="0.25">
      <c r="A38">
        <v>37</v>
      </c>
      <c r="B38" t="s">
        <v>52</v>
      </c>
      <c r="C38">
        <v>3300</v>
      </c>
      <c r="D38" t="s">
        <v>43</v>
      </c>
      <c r="E38" t="s">
        <v>18</v>
      </c>
    </row>
    <row r="39" spans="1:5" x14ac:dyDescent="0.25">
      <c r="A39">
        <v>38</v>
      </c>
      <c r="B39" t="s">
        <v>53</v>
      </c>
      <c r="C39">
        <v>3300</v>
      </c>
      <c r="D39" t="s">
        <v>43</v>
      </c>
      <c r="E39" t="s">
        <v>22</v>
      </c>
    </row>
    <row r="40" spans="1:5" x14ac:dyDescent="0.25">
      <c r="A40">
        <v>39</v>
      </c>
      <c r="B40" t="s">
        <v>54</v>
      </c>
      <c r="C40">
        <v>3300</v>
      </c>
      <c r="D40" t="s">
        <v>43</v>
      </c>
      <c r="E40" t="s">
        <v>22</v>
      </c>
    </row>
    <row r="41" spans="1:5" x14ac:dyDescent="0.25">
      <c r="A41">
        <v>40</v>
      </c>
      <c r="B41" t="s">
        <v>55</v>
      </c>
      <c r="C41">
        <v>3600</v>
      </c>
      <c r="D41" t="s">
        <v>43</v>
      </c>
      <c r="E41" t="s">
        <v>22</v>
      </c>
    </row>
    <row r="42" spans="1:5" x14ac:dyDescent="0.25">
      <c r="A42">
        <v>41</v>
      </c>
      <c r="B42" t="s">
        <v>56</v>
      </c>
      <c r="C42">
        <v>3600</v>
      </c>
      <c r="D42" t="s">
        <v>43</v>
      </c>
      <c r="E42" t="s">
        <v>22</v>
      </c>
    </row>
    <row r="43" spans="1:5" x14ac:dyDescent="0.25">
      <c r="A43">
        <v>42</v>
      </c>
      <c r="B43" t="s">
        <v>57</v>
      </c>
      <c r="C43">
        <v>2200</v>
      </c>
      <c r="D43" t="s">
        <v>43</v>
      </c>
      <c r="E43" t="s">
        <v>27</v>
      </c>
    </row>
    <row r="44" spans="1:5" x14ac:dyDescent="0.25">
      <c r="A44">
        <v>43</v>
      </c>
      <c r="B44" t="s">
        <v>58</v>
      </c>
      <c r="C44">
        <v>2700</v>
      </c>
      <c r="D44" t="s">
        <v>43</v>
      </c>
      <c r="E44" t="s">
        <v>29</v>
      </c>
    </row>
    <row r="45" spans="1:5" x14ac:dyDescent="0.25">
      <c r="A45">
        <v>44</v>
      </c>
      <c r="B45" t="s">
        <v>59</v>
      </c>
      <c r="C45">
        <v>3300</v>
      </c>
      <c r="D45" t="s">
        <v>43</v>
      </c>
      <c r="E45" t="s">
        <v>29</v>
      </c>
    </row>
    <row r="46" spans="1:5" x14ac:dyDescent="0.25">
      <c r="A46">
        <v>45</v>
      </c>
      <c r="B46" t="s">
        <v>60</v>
      </c>
      <c r="C46">
        <v>3200</v>
      </c>
      <c r="D46" t="s">
        <v>43</v>
      </c>
      <c r="E46" t="s">
        <v>43</v>
      </c>
    </row>
    <row r="47" spans="1:5" x14ac:dyDescent="0.25">
      <c r="A47">
        <v>46</v>
      </c>
      <c r="B47" t="s">
        <v>61</v>
      </c>
      <c r="C47">
        <v>3200</v>
      </c>
      <c r="D47" t="s">
        <v>43</v>
      </c>
      <c r="E47" t="s">
        <v>43</v>
      </c>
    </row>
    <row r="48" spans="1:5" x14ac:dyDescent="0.25">
      <c r="A48">
        <v>47</v>
      </c>
      <c r="B48" t="s">
        <v>62</v>
      </c>
      <c r="C48">
        <v>1500</v>
      </c>
      <c r="D48" t="s">
        <v>63</v>
      </c>
      <c r="E48" t="s">
        <v>63</v>
      </c>
    </row>
    <row r="49" spans="1:5" x14ac:dyDescent="0.25">
      <c r="A49">
        <v>48</v>
      </c>
      <c r="B49" t="s">
        <v>64</v>
      </c>
      <c r="C49">
        <v>1800</v>
      </c>
      <c r="D49" t="s">
        <v>63</v>
      </c>
      <c r="E49" t="s">
        <v>63</v>
      </c>
    </row>
    <row r="50" spans="1:5" x14ac:dyDescent="0.25">
      <c r="A50">
        <v>49</v>
      </c>
      <c r="B50" t="s">
        <v>65</v>
      </c>
      <c r="C50">
        <v>2700</v>
      </c>
      <c r="D50" t="s">
        <v>63</v>
      </c>
      <c r="E50" t="s">
        <v>63</v>
      </c>
    </row>
    <row r="51" spans="1:5" x14ac:dyDescent="0.25">
      <c r="A51">
        <v>50</v>
      </c>
      <c r="B51" t="s">
        <v>66</v>
      </c>
      <c r="C51">
        <v>2700</v>
      </c>
      <c r="D51" t="s">
        <v>63</v>
      </c>
      <c r="E51" t="s">
        <v>63</v>
      </c>
    </row>
    <row r="52" spans="1:5" x14ac:dyDescent="0.25">
      <c r="A52">
        <v>51</v>
      </c>
      <c r="B52" t="s">
        <v>67</v>
      </c>
      <c r="C52">
        <v>2100</v>
      </c>
      <c r="D52" t="s">
        <v>63</v>
      </c>
      <c r="E52" t="s">
        <v>63</v>
      </c>
    </row>
    <row r="53" spans="1:5" x14ac:dyDescent="0.25">
      <c r="A53">
        <v>52</v>
      </c>
      <c r="B53" t="s">
        <v>68</v>
      </c>
      <c r="C53">
        <v>2500</v>
      </c>
      <c r="D53" t="s">
        <v>63</v>
      </c>
      <c r="E53" t="s">
        <v>63</v>
      </c>
    </row>
    <row r="54" spans="1:5" x14ac:dyDescent="0.25">
      <c r="A54">
        <v>53</v>
      </c>
      <c r="B54" t="s">
        <v>69</v>
      </c>
      <c r="C54">
        <v>2500</v>
      </c>
      <c r="D54" t="s">
        <v>63</v>
      </c>
      <c r="E54" t="s">
        <v>63</v>
      </c>
    </row>
    <row r="55" spans="1:5" x14ac:dyDescent="0.25">
      <c r="A55">
        <v>54</v>
      </c>
      <c r="B55" t="s">
        <v>70</v>
      </c>
      <c r="C55">
        <v>3000</v>
      </c>
      <c r="D55" t="s">
        <v>63</v>
      </c>
      <c r="E55" t="s">
        <v>63</v>
      </c>
    </row>
    <row r="56" spans="1:5" x14ac:dyDescent="0.25">
      <c r="A56">
        <v>55</v>
      </c>
      <c r="B56" t="s">
        <v>71</v>
      </c>
      <c r="C56">
        <v>2500</v>
      </c>
      <c r="D56" t="s">
        <v>63</v>
      </c>
      <c r="E56" t="s">
        <v>63</v>
      </c>
    </row>
    <row r="57" spans="1:5" x14ac:dyDescent="0.25">
      <c r="A57">
        <v>56</v>
      </c>
      <c r="B57" t="s">
        <v>72</v>
      </c>
      <c r="C57">
        <v>1800</v>
      </c>
      <c r="D57" t="s">
        <v>73</v>
      </c>
      <c r="E57" t="s">
        <v>73</v>
      </c>
    </row>
    <row r="58" spans="1:5" x14ac:dyDescent="0.25">
      <c r="A58">
        <v>57</v>
      </c>
      <c r="B58" t="s">
        <v>74</v>
      </c>
      <c r="C58">
        <v>1800</v>
      </c>
      <c r="D58" t="s">
        <v>73</v>
      </c>
      <c r="E58" t="s">
        <v>73</v>
      </c>
    </row>
    <row r="59" spans="1:5" x14ac:dyDescent="0.25">
      <c r="A59">
        <v>58</v>
      </c>
      <c r="B59" t="s">
        <v>75</v>
      </c>
      <c r="C59">
        <v>1800</v>
      </c>
      <c r="D59" t="s">
        <v>73</v>
      </c>
      <c r="E59" t="s">
        <v>73</v>
      </c>
    </row>
    <row r="60" spans="1:5" x14ac:dyDescent="0.25">
      <c r="A60">
        <v>59</v>
      </c>
      <c r="B60" t="s">
        <v>76</v>
      </c>
      <c r="C60">
        <v>1800</v>
      </c>
      <c r="D60" t="s">
        <v>73</v>
      </c>
      <c r="E60" t="s">
        <v>73</v>
      </c>
    </row>
    <row r="61" spans="1:5" x14ac:dyDescent="0.25">
      <c r="A61">
        <v>60</v>
      </c>
      <c r="B61" t="s">
        <v>77</v>
      </c>
      <c r="C61">
        <v>3300</v>
      </c>
      <c r="D61" t="s">
        <v>78</v>
      </c>
      <c r="E61" t="s">
        <v>78</v>
      </c>
    </row>
    <row r="62" spans="1:5" x14ac:dyDescent="0.25">
      <c r="A62">
        <v>61</v>
      </c>
      <c r="B62" t="s">
        <v>79</v>
      </c>
      <c r="C62">
        <v>3300</v>
      </c>
      <c r="D62" t="s">
        <v>78</v>
      </c>
      <c r="E62" t="s">
        <v>78</v>
      </c>
    </row>
    <row r="63" spans="1:5" x14ac:dyDescent="0.25">
      <c r="A63">
        <v>62</v>
      </c>
      <c r="B63" t="s">
        <v>80</v>
      </c>
      <c r="C63">
        <v>3300</v>
      </c>
      <c r="D63" t="s">
        <v>78</v>
      </c>
      <c r="E63" t="s">
        <v>78</v>
      </c>
    </row>
    <row r="64" spans="1:5" x14ac:dyDescent="0.25">
      <c r="A64">
        <v>63</v>
      </c>
      <c r="B64" t="s">
        <v>81</v>
      </c>
      <c r="C64">
        <v>6200</v>
      </c>
      <c r="D64" t="s">
        <v>82</v>
      </c>
      <c r="E64" t="s">
        <v>82</v>
      </c>
    </row>
    <row r="65" spans="1:1" x14ac:dyDescent="0.25">
      <c r="A65">
        <v>64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C4498-605E-45A4-8650-527F074244F3}">
  <sheetPr codeName="Hoja5"/>
  <dimension ref="A1:A6"/>
  <sheetViews>
    <sheetView workbookViewId="0">
      <selection activeCell="D5" sqref="D5"/>
    </sheetView>
  </sheetViews>
  <sheetFormatPr baseColWidth="10" defaultRowHeight="15" x14ac:dyDescent="0.25"/>
  <cols>
    <col min="1" max="1" width="23.42578125" customWidth="1"/>
  </cols>
  <sheetData>
    <row r="1" spans="1:1" x14ac:dyDescent="0.25">
      <c r="A1" t="s">
        <v>92</v>
      </c>
    </row>
    <row r="3" spans="1:1" x14ac:dyDescent="0.25">
      <c r="A3" s="24" t="s">
        <v>89</v>
      </c>
    </row>
    <row r="4" spans="1:1" x14ac:dyDescent="0.25">
      <c r="A4" s="25" t="s">
        <v>90</v>
      </c>
    </row>
    <row r="5" spans="1:1" x14ac:dyDescent="0.25">
      <c r="A5" s="59" t="s">
        <v>106</v>
      </c>
    </row>
    <row r="6" spans="1:1" x14ac:dyDescent="0.25">
      <c r="A6" s="26" t="s">
        <v>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004B80E-298C-40B2-8DFB-CD7067FB4C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CREAR_BOLETA</vt:lpstr>
      <vt:lpstr>REGISTRO_DE_VENTAS</vt:lpstr>
      <vt:lpstr>VENTAS_DIARIAS</vt:lpstr>
      <vt:lpstr>BOLETA</vt:lpstr>
      <vt:lpstr>EFECTIVO</vt:lpstr>
      <vt:lpstr>DEBITO</vt:lpstr>
      <vt:lpstr>TRANSFERENCIA</vt:lpstr>
      <vt:lpstr>PRODUCTOS</vt:lpstr>
      <vt:lpstr>MÉTODOS_DE_PAGO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Nicolás Valdés;HIDEKI COFFEE</dc:creator>
  <cp:keywords>Boleta</cp:keywords>
  <cp:lastModifiedBy>CID COFFEE BREAK</cp:lastModifiedBy>
  <cp:lastPrinted>2023-05-03T15:43:09Z</cp:lastPrinted>
  <dcterms:created xsi:type="dcterms:W3CDTF">2023-04-24T18:16:25Z</dcterms:created>
  <dcterms:modified xsi:type="dcterms:W3CDTF">2023-05-03T15:46:44Z</dcterms:modified>
</cp:coreProperties>
</file>