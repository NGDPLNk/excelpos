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olas\Desktop\HIDEKI COFFEE\"/>
    </mc:Choice>
  </mc:AlternateContent>
  <xr:revisionPtr revIDLastSave="0" documentId="13_ncr:1_{B8E46E27-8876-47E6-B9FA-6C7BCA2A7760}" xr6:coauthVersionLast="47" xr6:coauthVersionMax="47" xr10:uidLastSave="{00000000-0000-0000-0000-000000000000}"/>
  <bookViews>
    <workbookView xWindow="-120" yWindow="-120" windowWidth="20730" windowHeight="11310" xr2:uid="{0C1D4787-E619-498F-8596-3E11BF273BCC}"/>
  </bookViews>
  <sheets>
    <sheet name="CREAR_BOLETA" sheetId="6" r:id="rId1"/>
    <sheet name="REGISTRO_DE_VENTAS" sheetId="9" state="hidden" r:id="rId2"/>
    <sheet name="BOLETA" sheetId="18" r:id="rId3"/>
    <sheet name="BOLETA_BASE" sheetId="12" r:id="rId4"/>
    <sheet name="PRODUCTOS" sheetId="8" state="hidden" r:id="rId5"/>
    <sheet name="MÉTODOS_DE_PAGO" sheetId="10" state="hidden" r:id="rId6"/>
  </sheets>
  <definedNames>
    <definedName name="DatosExternos_1" localSheetId="5" hidden="1">MÉTODOS_DE_PAGO!$A$1:$A$5</definedName>
    <definedName name="DatosExternos_1" localSheetId="4" hidden="1">PRODUCTOS!$A$1:$E$65</definedName>
    <definedName name="TOTAL">CREAR_BOLETA!$H$13:$H$32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18" l="1"/>
  <c r="D7" i="18"/>
  <c r="B4" i="18"/>
  <c r="B11" i="12"/>
  <c r="B4" i="12"/>
  <c r="I5" i="6"/>
  <c r="H5" i="6" s="1"/>
  <c r="L3" i="6" l="1"/>
  <c r="D7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1F5102-3968-4142-B0BA-CF5B705AC0F2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2" xr16:uid="{C39EA7F9-59A4-414A-BCD4-AB02F70C36EA}" keepAlive="1" name="Consulta - Tabla2" description="Conexión a la consulta 'Tabla2' en el libro." type="5" refreshedVersion="8" background="1" saveData="1">
    <dbPr connection="Provider=Microsoft.Mashup.OleDb.1;Data Source=$Workbook$;Location=Tabla2;Extended Properties=&quot;&quot;" command="SELECT * FROM [Tabla2]"/>
  </connection>
</connections>
</file>

<file path=xl/sharedStrings.xml><?xml version="1.0" encoding="utf-8"?>
<sst xmlns="http://schemas.openxmlformats.org/spreadsheetml/2006/main" count="232" uniqueCount="101">
  <si>
    <t>TOTAL</t>
  </si>
  <si>
    <t>GRACIAS POR SU PREFERENCIA</t>
  </si>
  <si>
    <t>.</t>
  </si>
  <si>
    <t>PRECIO</t>
  </si>
  <si>
    <t>PRODUCTO</t>
  </si>
  <si>
    <t>CANTIDAD</t>
  </si>
  <si>
    <t>BOLETA HIDEKI COFFEE</t>
  </si>
  <si>
    <t>ID DE PRODUCTO</t>
  </si>
  <si>
    <t>NOMBRE DEL PRODUCTO</t>
  </si>
  <si>
    <t>CATEGORÍA</t>
  </si>
  <si>
    <t>SUBCATEGORÍA</t>
  </si>
  <si>
    <t>LATTE</t>
  </si>
  <si>
    <t>COFFEE</t>
  </si>
  <si>
    <t>CINNAMON</t>
  </si>
  <si>
    <t>ESENCIAS</t>
  </si>
  <si>
    <t>NUTELLA</t>
  </si>
  <si>
    <t>BOMBÓN</t>
  </si>
  <si>
    <t>MANJAR</t>
  </si>
  <si>
    <t>CAPUCCINO</t>
  </si>
  <si>
    <t>FLAT WHITE</t>
  </si>
  <si>
    <t>VIENÉS</t>
  </si>
  <si>
    <t>CARAMEL MACCHIATO</t>
  </si>
  <si>
    <t>MOCACCINO</t>
  </si>
  <si>
    <t>WHITE</t>
  </si>
  <si>
    <t>BLACK 'N' WHITE</t>
  </si>
  <si>
    <t>PEPPERMINT</t>
  </si>
  <si>
    <t>ESPRESSO</t>
  </si>
  <si>
    <t>AMERICANO</t>
  </si>
  <si>
    <t>ESPRESSO ESENCIA</t>
  </si>
  <si>
    <t>CHOKORETO</t>
  </si>
  <si>
    <t>CHOKORETO ESPESO</t>
  </si>
  <si>
    <t>DAINSLEIF TEA</t>
  </si>
  <si>
    <t>GENSHIN FANTASY TEA</t>
  </si>
  <si>
    <t>TEA</t>
  </si>
  <si>
    <t>NINGUANG TEA</t>
  </si>
  <si>
    <t>HU TAO TEA</t>
  </si>
  <si>
    <t>NAHIDA TEA</t>
  </si>
  <si>
    <t>CHAI TEA</t>
  </si>
  <si>
    <t>LATTE CHAI TEA</t>
  </si>
  <si>
    <t>VARIETY TEA</t>
  </si>
  <si>
    <t>JUGO NATURAL</t>
  </si>
  <si>
    <t>JUGOS</t>
  </si>
  <si>
    <t>ICED LATTE</t>
  </si>
  <si>
    <t>ICED</t>
  </si>
  <si>
    <t>ICED CINNAMON</t>
  </si>
  <si>
    <t>ICED ESENCIAS</t>
  </si>
  <si>
    <t>ICED NUTELLA</t>
  </si>
  <si>
    <t>ICED BOMBÓN</t>
  </si>
  <si>
    <t>ICED MANJAR</t>
  </si>
  <si>
    <t>ICED CAPUCCINO</t>
  </si>
  <si>
    <t>ICED FLAT WHITE</t>
  </si>
  <si>
    <t>ICED VIENÉS</t>
  </si>
  <si>
    <t>ICED CARAMEL MACCHIATO</t>
  </si>
  <si>
    <t>ICED MOCACCINO</t>
  </si>
  <si>
    <t>ICED WHITE</t>
  </si>
  <si>
    <t>ICED BLACK 'N' WHITE</t>
  </si>
  <si>
    <t>ICED PEPPERMINT</t>
  </si>
  <si>
    <t>ICED AMERICANO</t>
  </si>
  <si>
    <t>ICED CHOKORETO</t>
  </si>
  <si>
    <t>ICED CHOKORETO ESPESO</t>
  </si>
  <si>
    <t>CHIBI MATCHA MOON</t>
  </si>
  <si>
    <t>BANANA FISH</t>
  </si>
  <si>
    <t>ALCREMIE CAKE</t>
  </si>
  <si>
    <t>BAKERY</t>
  </si>
  <si>
    <t>MATCHA CREME</t>
  </si>
  <si>
    <t>BROWNIEURSA</t>
  </si>
  <si>
    <t>BOMBAS DE CREMA</t>
  </si>
  <si>
    <t>PIE VARIETY</t>
  </si>
  <si>
    <t>TAIYAKY</t>
  </si>
  <si>
    <t>TANJIRO BREAD</t>
  </si>
  <si>
    <t>CHOKOLLIS</t>
  </si>
  <si>
    <t>VARIETY OREO CAKE</t>
  </si>
  <si>
    <t>SPRIGATITO</t>
  </si>
  <si>
    <t>SODA'S</t>
  </si>
  <si>
    <t>ICED SKITTY</t>
  </si>
  <si>
    <t>SOD SLITTEN</t>
  </si>
  <si>
    <t>SHICED MEW</t>
  </si>
  <si>
    <t>FAJI VIENES</t>
  </si>
  <si>
    <t>TOKYO SHOTS</t>
  </si>
  <si>
    <t>CHIFUYU BOMBÓN</t>
  </si>
  <si>
    <t>KAZUTORA LATTE</t>
  </si>
  <si>
    <t>POCHITA BLOOM (MOCACCINO + CUPCAKE)</t>
  </si>
  <si>
    <t>OFERTAS</t>
  </si>
  <si>
    <t>TOTAL PRODUCTO</t>
  </si>
  <si>
    <t>TOTAL VENTA</t>
  </si>
  <si>
    <t/>
  </si>
  <si>
    <t>FECHA DE VENTA</t>
  </si>
  <si>
    <t>MÉTODO DE PAGO</t>
  </si>
  <si>
    <t>PAGA CON</t>
  </si>
  <si>
    <t>EFECTIVO</t>
  </si>
  <si>
    <t>DÉBITO</t>
  </si>
  <si>
    <t>MÉTODOS DE PAGO</t>
  </si>
  <si>
    <t>MÉTODO DE PAGO:</t>
  </si>
  <si>
    <t>TRANSFERENCIA</t>
  </si>
  <si>
    <t>RESUMEN Y ACCIONES</t>
  </si>
  <si>
    <t>ID DE VENTA</t>
  </si>
  <si>
    <t>CÓDIGO DE DÍA</t>
  </si>
  <si>
    <t>PRODUCTO(S)</t>
  </si>
  <si>
    <t>PRECIO(S)</t>
  </si>
  <si>
    <t>TOTAL(ES)</t>
  </si>
  <si>
    <t>CARRITO DE COMPRAS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</si>
</sst>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2" formatCode="_ &quot;$&quot;* #,##0_ ;_ &quot;$&quot;* \-#,##0_ ;_ &quot;$&quot;* &quot;-&quot;_ ;_ @_ "/>
    <numFmt numFmtId="164" formatCode="\x0"/>
    <numFmt numFmtId="165" formatCode="&quot;$&quot;#,##0"/>
  </numFmts>
  <fonts count="10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2" fontId="4" fillId="0" borderId="0" applyFont="0" applyFill="0" applyBorder="0" applyAlignment="0" applyProtection="0"/>
  </cellStyleXfs>
  <cellXfs count="66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left" vertical="center"/>
    </xf>
    <xf numFmtId="42" fontId="7" fillId="0" borderId="1" xfId="0" applyNumberFormat="1" applyFont="1" applyBorder="1" applyAlignment="1">
      <alignment horizontal="left" vertical="center"/>
    </xf>
    <xf numFmtId="42" fontId="7" fillId="0" borderId="1" xfId="0" applyNumberFormat="1" applyFont="1" applyBorder="1" applyAlignment="1">
      <alignment horizontal="center" vertical="center"/>
    </xf>
    <xf numFmtId="0" fontId="6" fillId="0" borderId="0" xfId="0" applyFont="1"/>
    <xf numFmtId="49" fontId="7" fillId="0" borderId="1" xfId="0" applyNumberFormat="1" applyFont="1" applyBorder="1" applyAlignment="1" applyProtection="1">
      <alignment horizontal="center" vertical="center"/>
      <protection locked="0"/>
    </xf>
    <xf numFmtId="164" fontId="7" fillId="0" borderId="1" xfId="0" applyNumberFormat="1" applyFont="1" applyBorder="1" applyAlignment="1" applyProtection="1">
      <alignment horizontal="center" vertical="center"/>
      <protection locked="0"/>
    </xf>
    <xf numFmtId="42" fontId="7" fillId="0" borderId="1" xfId="0" applyNumberFormat="1" applyFont="1" applyBorder="1" applyAlignment="1" applyProtection="1">
      <alignment horizontal="center" vertical="center"/>
      <protection locked="0"/>
    </xf>
    <xf numFmtId="0" fontId="0" fillId="2" borderId="2" xfId="0" applyFill="1" applyBorder="1"/>
    <xf numFmtId="0" fontId="0" fillId="0" borderId="2" xfId="0" applyBorder="1"/>
    <xf numFmtId="2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165" fontId="0" fillId="0" borderId="0" xfId="0" applyNumberFormat="1"/>
    <xf numFmtId="22" fontId="0" fillId="0" borderId="8" xfId="0" applyNumberForma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165" fontId="0" fillId="0" borderId="6" xfId="0" applyNumberFormat="1" applyBorder="1" applyAlignment="1">
      <alignment horizontal="center" vertical="center"/>
    </xf>
    <xf numFmtId="22" fontId="0" fillId="0" borderId="0" xfId="0" applyNumberFormat="1"/>
    <xf numFmtId="49" fontId="0" fillId="0" borderId="7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22" fontId="0" fillId="0" borderId="4" xfId="0" applyNumberFormat="1" applyBorder="1" applyAlignment="1">
      <alignment horizontal="center" vertical="center"/>
    </xf>
    <xf numFmtId="49" fontId="6" fillId="0" borderId="0" xfId="0" applyNumberFormat="1" applyFont="1"/>
    <xf numFmtId="0" fontId="0" fillId="0" borderId="3" xfId="0" applyBorder="1"/>
    <xf numFmtId="0" fontId="8" fillId="0" borderId="0" xfId="0" applyFont="1" applyAlignment="1" applyProtection="1">
      <alignment horizontal="center" vertical="center"/>
      <protection locked="0"/>
    </xf>
    <xf numFmtId="0" fontId="8" fillId="0" borderId="1" xfId="0" applyFont="1" applyBorder="1" applyAlignment="1">
      <alignment horizontal="center" vertical="center"/>
    </xf>
    <xf numFmtId="49" fontId="7" fillId="0" borderId="0" xfId="0" applyNumberFormat="1" applyFont="1" applyAlignment="1" applyProtection="1">
      <alignment horizontal="center" vertical="center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42" fontId="7" fillId="0" borderId="0" xfId="0" applyNumberFormat="1" applyFont="1" applyAlignment="1" applyProtection="1">
      <alignment horizontal="center" vertical="center"/>
      <protection locked="0"/>
    </xf>
    <xf numFmtId="42" fontId="7" fillId="0" borderId="0" xfId="0" applyNumberFormat="1" applyFont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42" fontId="2" fillId="0" borderId="0" xfId="0" applyNumberFormat="1" applyFont="1"/>
    <xf numFmtId="42" fontId="1" fillId="0" borderId="0" xfId="1" applyFont="1" applyAlignment="1">
      <alignment horizontal="left" vertical="center"/>
    </xf>
    <xf numFmtId="42" fontId="2" fillId="0" borderId="0" xfId="0" applyNumberFormat="1" applyFont="1" applyAlignment="1">
      <alignment vertical="center"/>
    </xf>
    <xf numFmtId="164" fontId="2" fillId="0" borderId="0" xfId="0" applyNumberFormat="1" applyFont="1" applyAlignment="1">
      <alignment horizontal="left"/>
    </xf>
    <xf numFmtId="49" fontId="2" fillId="0" borderId="0" xfId="0" applyNumberFormat="1" applyFont="1" applyAlignment="1">
      <alignment horizontal="left"/>
    </xf>
    <xf numFmtId="42" fontId="2" fillId="0" borderId="0" xfId="0" applyNumberFormat="1" applyFont="1" applyAlignment="1">
      <alignment horizontal="left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22" fontId="3" fillId="0" borderId="0" xfId="0" applyNumberFormat="1" applyFont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6" fillId="0" borderId="0" xfId="0" applyFont="1" applyBorder="1"/>
    <xf numFmtId="49" fontId="7" fillId="0" borderId="0" xfId="0" applyNumberFormat="1" applyFont="1" applyBorder="1" applyAlignment="1" applyProtection="1">
      <alignment horizontal="center" vertical="center"/>
      <protection locked="0"/>
    </xf>
    <xf numFmtId="164" fontId="7" fillId="0" borderId="0" xfId="0" applyNumberFormat="1" applyFont="1" applyBorder="1" applyAlignment="1" applyProtection="1">
      <alignment horizontal="center" vertical="center"/>
      <protection locked="0"/>
    </xf>
    <xf numFmtId="42" fontId="7" fillId="0" borderId="0" xfId="0" applyNumberFormat="1" applyFont="1" applyBorder="1" applyAlignment="1" applyProtection="1">
      <alignment horizontal="center" vertical="center"/>
      <protection locked="0"/>
    </xf>
    <xf numFmtId="42" fontId="7" fillId="0" borderId="0" xfId="0" applyNumberFormat="1" applyFont="1" applyBorder="1" applyAlignment="1">
      <alignment horizontal="center" vertical="center"/>
    </xf>
  </cellXfs>
  <cellStyles count="2">
    <cellStyle name="Moneda [0]" xfId="1" builtinId="7"/>
    <cellStyle name="Normal" xfId="0" builtinId="0"/>
  </cellStyles>
  <dxfs count="17"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5" formatCode="&quot;$&quot;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&quot;$&quot;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&quot;$&quot;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\x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numFmt numFmtId="165" formatCode="&quot;$&quot;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&quot;$&quot;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la 1" pivot="0" count="0" xr9:uid="{21D437CC-AAD5-49B7-90FF-A6A7737B95C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0</xdr:row>
      <xdr:rowOff>95250</xdr:rowOff>
    </xdr:from>
    <xdr:to>
      <xdr:col>8</xdr:col>
      <xdr:colOff>180974</xdr:colOff>
      <xdr:row>7</xdr:row>
      <xdr:rowOff>228600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BF04D55-4122-017F-7C8E-E8BECD6964DE}"/>
            </a:ext>
          </a:extLst>
        </xdr:cNvPr>
        <xdr:cNvSpPr/>
      </xdr:nvSpPr>
      <xdr:spPr>
        <a:xfrm>
          <a:off x="609600" y="95250"/>
          <a:ext cx="5133974" cy="2428875"/>
        </a:xfrm>
        <a:prstGeom prst="roundRect">
          <a:avLst>
            <a:gd name="adj" fmla="val 1748"/>
          </a:avLst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 editAs="oneCell">
    <xdr:from>
      <xdr:col>0</xdr:col>
      <xdr:colOff>666750</xdr:colOff>
      <xdr:row>0</xdr:row>
      <xdr:rowOff>161925</xdr:rowOff>
    </xdr:from>
    <xdr:to>
      <xdr:col>1</xdr:col>
      <xdr:colOff>466725</xdr:colOff>
      <xdr:row>1</xdr:row>
      <xdr:rowOff>171450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D7274C8-545B-FD39-803F-657B62BB7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61925"/>
          <a:ext cx="561975" cy="561975"/>
        </a:xfrm>
        <a:prstGeom prst="rect">
          <a:avLst/>
        </a:prstGeom>
      </xdr:spPr>
    </xdr:pic>
    <xdr:clientData/>
  </xdr:twoCellAnchor>
  <xdr:twoCellAnchor>
    <xdr:from>
      <xdr:col>10</xdr:col>
      <xdr:colOff>485774</xdr:colOff>
      <xdr:row>6</xdr:row>
      <xdr:rowOff>1</xdr:rowOff>
    </xdr:from>
    <xdr:to>
      <xdr:col>11</xdr:col>
      <xdr:colOff>542924</xdr:colOff>
      <xdr:row>7</xdr:row>
      <xdr:rowOff>47626</xdr:rowOff>
    </xdr:to>
    <xdr:sp macro="[0]!IMPRIMI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9F64F75B-2821-E108-38DB-70CD75100979}"/>
            </a:ext>
          </a:extLst>
        </xdr:cNvPr>
        <xdr:cNvSpPr/>
      </xdr:nvSpPr>
      <xdr:spPr>
        <a:xfrm>
          <a:off x="7572374" y="1876426"/>
          <a:ext cx="1019175" cy="361950"/>
        </a:xfrm>
        <a:prstGeom prst="roundRect">
          <a:avLst/>
        </a:prstGeom>
        <a:solidFill>
          <a:schemeClr val="accent2"/>
        </a:solidFill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chemeClr val="bg1"/>
              </a:solidFill>
            </a:rPr>
            <a:t>IMPRIMIR</a:t>
          </a:r>
        </a:p>
      </xdr:txBody>
    </xdr:sp>
    <xdr:clientData fLocksWithSheet="0"/>
  </xdr:twoCellAnchor>
  <xdr:twoCellAnchor>
    <xdr:from>
      <xdr:col>9</xdr:col>
      <xdr:colOff>161925</xdr:colOff>
      <xdr:row>0</xdr:row>
      <xdr:rowOff>95250</xdr:rowOff>
    </xdr:from>
    <xdr:to>
      <xdr:col>12</xdr:col>
      <xdr:colOff>476250</xdr:colOff>
      <xdr:row>7</xdr:row>
      <xdr:rowOff>161925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F43672F3-B9D9-4756-833F-2BC7C899672A}"/>
            </a:ext>
          </a:extLst>
        </xdr:cNvPr>
        <xdr:cNvSpPr/>
      </xdr:nvSpPr>
      <xdr:spPr>
        <a:xfrm>
          <a:off x="6486525" y="95250"/>
          <a:ext cx="3162300" cy="2257425"/>
        </a:xfrm>
        <a:prstGeom prst="roundRect">
          <a:avLst>
            <a:gd name="adj" fmla="val 1748"/>
          </a:avLst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3</xdr:col>
      <xdr:colOff>561975</xdr:colOff>
      <xdr:row>5</xdr:row>
      <xdr:rowOff>285750</xdr:rowOff>
    </xdr:from>
    <xdr:to>
      <xdr:col>7</xdr:col>
      <xdr:colOff>1190625</xdr:colOff>
      <xdr:row>7</xdr:row>
      <xdr:rowOff>19050</xdr:rowOff>
    </xdr:to>
    <xdr:sp macro="[0]!AGREGAR_AL_CARRI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2C99111-038D-4BA4-B52F-52B88EF4C53E}"/>
            </a:ext>
          </a:extLst>
        </xdr:cNvPr>
        <xdr:cNvSpPr/>
      </xdr:nvSpPr>
      <xdr:spPr>
        <a:xfrm>
          <a:off x="3200400" y="1952625"/>
          <a:ext cx="2343150" cy="361950"/>
        </a:xfrm>
        <a:prstGeom prst="roundRect">
          <a:avLst/>
        </a:prstGeom>
        <a:solidFill>
          <a:srgbClr val="0070C0"/>
        </a:solidFill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chemeClr val="bg1"/>
              </a:solidFill>
            </a:rPr>
            <a:t>AGREGAR AL CARRITO</a:t>
          </a:r>
        </a:p>
      </xdr:txBody>
    </xdr:sp>
    <xdr:clientData fLocksWithSheet="0"/>
  </xdr:twoCellAnchor>
  <xdr:twoCellAnchor>
    <xdr:from>
      <xdr:col>1</xdr:col>
      <xdr:colOff>38099</xdr:colOff>
      <xdr:row>5</xdr:row>
      <xdr:rowOff>304800</xdr:rowOff>
    </xdr:from>
    <xdr:to>
      <xdr:col>1</xdr:col>
      <xdr:colOff>1133474</xdr:colOff>
      <xdr:row>7</xdr:row>
      <xdr:rowOff>19050</xdr:rowOff>
    </xdr:to>
    <xdr:sp macro="[0]!LIMPIAR_TOD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6FF07AA9-7EFF-4A31-97C7-1DAE8EA7AD75}"/>
            </a:ext>
          </a:extLst>
        </xdr:cNvPr>
        <xdr:cNvSpPr/>
      </xdr:nvSpPr>
      <xdr:spPr>
        <a:xfrm>
          <a:off x="800099" y="1866900"/>
          <a:ext cx="1095375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LIMPIAR TODO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157369</xdr:colOff>
      <xdr:row>0</xdr:row>
      <xdr:rowOff>0</xdr:rowOff>
    </xdr:from>
    <xdr:to>
      <xdr:col>3</xdr:col>
      <xdr:colOff>530087</xdr:colOff>
      <xdr:row>0</xdr:row>
      <xdr:rowOff>1507435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FE779EC-99DE-4A3B-930B-E1A3C70D5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19" y="0"/>
          <a:ext cx="2058643" cy="15074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157369</xdr:colOff>
      <xdr:row>0</xdr:row>
      <xdr:rowOff>0</xdr:rowOff>
    </xdr:from>
    <xdr:to>
      <xdr:col>3</xdr:col>
      <xdr:colOff>530087</xdr:colOff>
      <xdr:row>0</xdr:row>
      <xdr:rowOff>1507435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B056248-BC3D-4823-AB67-7FABE7228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19" y="0"/>
          <a:ext cx="2058643" cy="150743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FFFFB29A-15CD-410D-93DF-322B05583603}" autoFormatId="16" applyNumberFormats="0" applyBorderFormats="0" applyFontFormats="0" applyPatternFormats="0" applyAlignmentFormats="0" applyWidthHeightFormats="0">
  <queryTableRefresh nextId="6">
    <queryTableFields count="5">
      <queryTableField id="1" name="ID DE PRODUCTO" tableColumnId="1"/>
      <queryTableField id="2" name="NOMBRE DEL PRODUCTO" tableColumnId="2"/>
      <queryTableField id="3" name="PRECIO" tableColumnId="3"/>
      <queryTableField id="4" name="CATEGORÍA" tableColumnId="4"/>
      <queryTableField id="5" name="SUBCATEGORÍA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EE194BB-5734-45E0-B031-0BFF61A13C32}" name="Tabla7" displayName="Tabla7" ref="B2:J3" totalsRowShown="0" headerRowDxfId="16" dataDxfId="14" headerRowBorderDxfId="15" tableBorderDxfId="13" totalsRowBorderDxfId="12">
  <autoFilter ref="B2:J3" xr:uid="{4EE194BB-5734-45E0-B031-0BFF61A13C32}"/>
  <tableColumns count="9">
    <tableColumn id="7" xr3:uid="{0DB5CBFB-EBCE-4289-8162-EE2AF2B78350}" name="ID DE VENTA" dataDxfId="11"/>
    <tableColumn id="6" xr3:uid="{A86AC473-1528-4F13-AD12-DAAFF0E0C0D8}" name="CÓDIGO DE DÍA" dataDxfId="10"/>
    <tableColumn id="1" xr3:uid="{51FF770E-744F-41EF-A47C-C9F69581D1AB}" name="FECHA DE VENTA" dataDxfId="9"/>
    <tableColumn id="2" xr3:uid="{6E31EBEE-C6E0-4FBF-9AF2-A40274A32329}" name="PRODUCTO(S)" dataDxfId="8"/>
    <tableColumn id="5" xr3:uid="{D1F3C823-F3FA-4F51-B11C-D0E53FEFE3FD}" name="CANTIDAD" dataDxfId="7"/>
    <tableColumn id="8" xr3:uid="{9FF4A23E-C981-4D17-992B-3FFA82AA56A8}" name="PRECIO(S)" dataDxfId="6"/>
    <tableColumn id="11" xr3:uid="{D608293A-EB54-4DBC-A0B6-2E6A72F45624}" name="TOTAL(ES)" dataDxfId="5"/>
    <tableColumn id="14" xr3:uid="{D833F689-EFBF-4DCA-952C-176805245715}" name="TOTAL VENTA" dataDxfId="4"/>
    <tableColumn id="15" xr3:uid="{E006B27E-958F-45CF-A0D5-866DA8B336AF}" name="MÉTODO DE PAGO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8F7E99-40A5-433A-B991-91723FA4AC74}" name="Tabla_PRODUCTOS" displayName="Tabla_PRODUCTOS" ref="A1:E65" tableType="queryTable" totalsRowShown="0">
  <autoFilter ref="A1:E65" xr:uid="{2E8F7E99-40A5-433A-B991-91723FA4AC74}"/>
  <tableColumns count="5">
    <tableColumn id="1" xr3:uid="{C5FD6147-0092-41C9-8A95-5C3606C3882B}" uniqueName="1" name="ID DE PRODUCTO" queryTableFieldId="1"/>
    <tableColumn id="2" xr3:uid="{A0EF53CA-3511-46E5-B57A-6849933C3725}" uniqueName="2" name="NOMBRE DEL PRODUCTO" queryTableFieldId="2" dataDxfId="2"/>
    <tableColumn id="3" xr3:uid="{E407C5C1-1E2C-4E76-96E6-F23B98EB3417}" uniqueName="3" name="PRECIO" queryTableFieldId="3"/>
    <tableColumn id="4" xr3:uid="{470DD4B3-1C79-4FC2-A3D5-A8740DEAE3E3}" uniqueName="4" name="CATEGORÍA" queryTableFieldId="4" dataDxfId="1"/>
    <tableColumn id="5" xr3:uid="{C4B28630-9964-48F0-A0AD-EA82C89C7CA9}" uniqueName="5" name="SUBCATEGORÍA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C1CC5-62CF-4984-BBE9-626269251CD9}">
  <sheetPr codeName="Hoja1"/>
  <dimension ref="A1:O120"/>
  <sheetViews>
    <sheetView showGridLines="0" tabSelected="1" zoomScaleNormal="100" workbookViewId="0">
      <selection activeCell="I9" sqref="I9"/>
    </sheetView>
  </sheetViews>
  <sheetFormatPr baseColWidth="10" defaultRowHeight="15" x14ac:dyDescent="0.25"/>
  <cols>
    <col min="2" max="2" width="25.28515625" customWidth="1"/>
    <col min="3" max="3" width="2.85546875" customWidth="1"/>
    <col min="4" max="4" width="10.28515625" customWidth="1"/>
    <col min="5" max="5" width="2.85546875" customWidth="1"/>
    <col min="6" max="6" width="9.7109375" customWidth="1"/>
    <col min="7" max="7" width="2.85546875" customWidth="1"/>
    <col min="8" max="8" width="18.140625" customWidth="1"/>
    <col min="11" max="11" width="14.42578125" customWidth="1"/>
    <col min="12" max="12" width="16.85546875" customWidth="1"/>
    <col min="15" max="15" width="12" customWidth="1"/>
  </cols>
  <sheetData>
    <row r="1" spans="1:15" ht="43.5" customHeight="1" x14ac:dyDescent="0.25">
      <c r="B1" s="52" t="s">
        <v>6</v>
      </c>
      <c r="C1" s="52"/>
      <c r="D1" s="52"/>
      <c r="E1" s="52"/>
      <c r="F1" s="52"/>
      <c r="G1" s="52"/>
      <c r="H1" s="52"/>
      <c r="K1" s="52" t="s">
        <v>94</v>
      </c>
      <c r="L1" s="52"/>
    </row>
    <row r="2" spans="1:15" ht="16.5" customHeight="1" x14ac:dyDescent="0.25">
      <c r="B2" s="52"/>
      <c r="C2" s="52"/>
      <c r="D2" s="52"/>
      <c r="E2" s="52"/>
      <c r="F2" s="52"/>
      <c r="G2" s="52"/>
      <c r="H2" s="52"/>
      <c r="K2" s="52"/>
      <c r="L2" s="52"/>
    </row>
    <row r="3" spans="1:15" ht="24.95" customHeight="1" x14ac:dyDescent="0.25">
      <c r="B3" s="9" t="s">
        <v>4</v>
      </c>
      <c r="C3" s="10"/>
      <c r="D3" s="9" t="s">
        <v>5</v>
      </c>
      <c r="E3" s="10"/>
      <c r="F3" s="9" t="s">
        <v>3</v>
      </c>
      <c r="G3" s="10"/>
      <c r="H3" s="9" t="s">
        <v>83</v>
      </c>
      <c r="K3" s="11" t="s">
        <v>84</v>
      </c>
      <c r="L3" s="12">
        <f>SUM(TOTAL)</f>
        <v>0</v>
      </c>
    </row>
    <row r="4" spans="1:15" ht="13.5" customHeight="1" x14ac:dyDescent="0.25">
      <c r="B4" s="10"/>
      <c r="C4" s="10"/>
      <c r="D4" s="10"/>
      <c r="E4" s="10"/>
      <c r="F4" s="10"/>
      <c r="G4" s="10"/>
      <c r="H4" s="10"/>
      <c r="I4" s="14"/>
      <c r="O4" s="14"/>
    </row>
    <row r="5" spans="1:15" ht="24.95" customHeight="1" x14ac:dyDescent="0.25">
      <c r="B5" s="15" t="s">
        <v>85</v>
      </c>
      <c r="C5" s="10"/>
      <c r="D5" s="16"/>
      <c r="E5" s="10"/>
      <c r="F5" s="17"/>
      <c r="G5" s="10"/>
      <c r="H5" s="13">
        <f>(F5*I5)</f>
        <v>0</v>
      </c>
      <c r="I5" s="14">
        <f>IF(D5="",1,D5)</f>
        <v>1</v>
      </c>
      <c r="K5" s="9" t="s">
        <v>88</v>
      </c>
      <c r="L5" s="40" t="s">
        <v>89</v>
      </c>
      <c r="N5" s="14"/>
      <c r="O5" s="14"/>
    </row>
    <row r="6" spans="1:15" ht="24.95" customHeight="1" x14ac:dyDescent="0.25">
      <c r="B6" s="10"/>
      <c r="C6" s="10"/>
      <c r="D6" s="10"/>
      <c r="E6" s="10"/>
      <c r="F6" s="10"/>
      <c r="G6" s="10"/>
      <c r="H6" s="10"/>
      <c r="I6" s="14"/>
      <c r="N6" s="14"/>
      <c r="O6" s="14"/>
    </row>
    <row r="7" spans="1:15" ht="24.95" customHeight="1" x14ac:dyDescent="0.25">
      <c r="B7" s="41"/>
      <c r="C7" s="10"/>
      <c r="D7" s="42"/>
      <c r="E7" s="10"/>
      <c r="F7" s="43"/>
      <c r="G7" s="10"/>
      <c r="H7" s="44"/>
      <c r="I7" s="14"/>
      <c r="K7" s="10"/>
      <c r="L7" s="39"/>
      <c r="N7" s="14"/>
      <c r="O7" s="37"/>
    </row>
    <row r="8" spans="1:15" ht="24.95" customHeight="1" x14ac:dyDescent="0.25">
      <c r="B8" s="10"/>
      <c r="C8" s="10"/>
      <c r="D8" s="10"/>
      <c r="E8" s="10"/>
      <c r="F8" s="10"/>
      <c r="G8" s="10"/>
      <c r="H8" s="10"/>
      <c r="I8" s="14"/>
      <c r="N8" s="14"/>
    </row>
    <row r="9" spans="1:15" ht="24.95" customHeight="1" x14ac:dyDescent="0.25">
      <c r="B9" s="41"/>
      <c r="C9" s="10"/>
      <c r="D9" s="42"/>
      <c r="E9" s="10"/>
      <c r="F9" s="43"/>
      <c r="G9" s="10"/>
      <c r="H9" s="44"/>
      <c r="I9" s="14"/>
      <c r="N9" s="14"/>
      <c r="O9" s="37"/>
    </row>
    <row r="10" spans="1:15" ht="24.95" customHeight="1" x14ac:dyDescent="0.25">
      <c r="B10" s="53" t="s">
        <v>100</v>
      </c>
      <c r="C10" s="53"/>
      <c r="D10" s="53"/>
      <c r="E10" s="53"/>
      <c r="F10" s="53"/>
      <c r="G10" s="53"/>
      <c r="H10" s="53"/>
    </row>
    <row r="11" spans="1:15" x14ac:dyDescent="0.25">
      <c r="B11" s="53"/>
      <c r="C11" s="53"/>
      <c r="D11" s="53"/>
      <c r="E11" s="53"/>
      <c r="F11" s="53"/>
      <c r="G11" s="53"/>
      <c r="H11" s="53"/>
    </row>
    <row r="12" spans="1:15" x14ac:dyDescent="0.25">
      <c r="B12" s="53"/>
      <c r="C12" s="53"/>
      <c r="D12" s="53"/>
      <c r="E12" s="53"/>
      <c r="F12" s="53"/>
      <c r="G12" s="53"/>
      <c r="H12" s="53"/>
    </row>
    <row r="14" spans="1:15" ht="24.75" customHeight="1" x14ac:dyDescent="0.25">
      <c r="B14" s="9" t="s">
        <v>4</v>
      </c>
      <c r="C14" s="10"/>
      <c r="D14" s="9" t="s">
        <v>5</v>
      </c>
      <c r="E14" s="10"/>
      <c r="F14" s="9" t="s">
        <v>3</v>
      </c>
      <c r="G14" s="10"/>
      <c r="H14" s="9" t="s">
        <v>83</v>
      </c>
    </row>
    <row r="16" spans="1:15" ht="24.75" customHeight="1" x14ac:dyDescent="0.25">
      <c r="A16" s="59"/>
      <c r="B16" s="59"/>
      <c r="C16" s="59"/>
      <c r="D16" s="59"/>
      <c r="E16" s="59"/>
      <c r="F16" s="59"/>
      <c r="G16" s="59"/>
      <c r="H16" s="59"/>
      <c r="I16" s="59"/>
      <c r="J16" s="59"/>
    </row>
    <row r="17" spans="1:10" ht="18.75" customHeight="1" x14ac:dyDescent="0.25">
      <c r="A17" s="59"/>
      <c r="B17" s="59"/>
      <c r="C17" s="59"/>
      <c r="D17" s="59"/>
      <c r="E17" s="59"/>
      <c r="F17" s="59"/>
      <c r="G17" s="59"/>
      <c r="H17" s="59"/>
      <c r="I17" s="59"/>
      <c r="J17" s="59"/>
    </row>
    <row r="18" spans="1:10" ht="24.75" customHeight="1" x14ac:dyDescent="0.25">
      <c r="A18" s="59"/>
      <c r="B18" s="62"/>
      <c r="C18" s="60"/>
      <c r="D18" s="63"/>
      <c r="E18" s="60"/>
      <c r="F18" s="64"/>
      <c r="G18" s="60"/>
      <c r="H18" s="65"/>
      <c r="I18" s="61"/>
      <c r="J18" s="59"/>
    </row>
    <row r="19" spans="1:10" ht="18.75" customHeight="1" x14ac:dyDescent="0.25">
      <c r="A19" s="59"/>
      <c r="B19" s="60"/>
      <c r="C19" s="60"/>
      <c r="D19" s="60"/>
      <c r="E19" s="60"/>
      <c r="F19" s="60"/>
      <c r="G19" s="60"/>
      <c r="H19" s="60"/>
      <c r="I19" s="61"/>
      <c r="J19" s="59"/>
    </row>
    <row r="20" spans="1:10" ht="24.75" customHeight="1" x14ac:dyDescent="0.25">
      <c r="A20" s="59"/>
      <c r="B20" s="62"/>
      <c r="C20" s="60"/>
      <c r="D20" s="63"/>
      <c r="E20" s="60"/>
      <c r="F20" s="64"/>
      <c r="G20" s="60"/>
      <c r="H20" s="65"/>
      <c r="I20" s="61"/>
      <c r="J20" s="59"/>
    </row>
    <row r="21" spans="1:10" ht="18.75" customHeight="1" x14ac:dyDescent="0.25">
      <c r="A21" s="59"/>
      <c r="B21" s="60"/>
      <c r="C21" s="60"/>
      <c r="D21" s="60"/>
      <c r="E21" s="60"/>
      <c r="F21" s="60"/>
      <c r="G21" s="60"/>
      <c r="H21" s="60"/>
      <c r="I21" s="61"/>
      <c r="J21" s="59"/>
    </row>
    <row r="22" spans="1:10" ht="24.75" customHeight="1" x14ac:dyDescent="0.25">
      <c r="A22" s="59"/>
      <c r="B22" s="62"/>
      <c r="C22" s="60"/>
      <c r="D22" s="63"/>
      <c r="E22" s="60"/>
      <c r="F22" s="64"/>
      <c r="G22" s="60"/>
      <c r="H22" s="65"/>
      <c r="I22" s="61"/>
      <c r="J22" s="59"/>
    </row>
    <row r="23" spans="1:10" ht="18.75" customHeight="1" x14ac:dyDescent="0.25">
      <c r="A23" s="59"/>
      <c r="B23" s="60"/>
      <c r="C23" s="60"/>
      <c r="D23" s="60"/>
      <c r="E23" s="60"/>
      <c r="F23" s="60"/>
      <c r="G23" s="60"/>
      <c r="H23" s="60"/>
      <c r="I23" s="61"/>
      <c r="J23" s="59"/>
    </row>
    <row r="24" spans="1:10" ht="24.75" customHeight="1" x14ac:dyDescent="0.25">
      <c r="A24" s="59"/>
      <c r="B24" s="62"/>
      <c r="C24" s="60"/>
      <c r="D24" s="63"/>
      <c r="E24" s="60"/>
      <c r="F24" s="64"/>
      <c r="G24" s="60"/>
      <c r="H24" s="65"/>
      <c r="I24" s="61"/>
      <c r="J24" s="59"/>
    </row>
    <row r="25" spans="1:10" ht="18.75" customHeight="1" x14ac:dyDescent="0.25">
      <c r="A25" s="59"/>
      <c r="B25" s="60"/>
      <c r="C25" s="60"/>
      <c r="D25" s="60"/>
      <c r="E25" s="60"/>
      <c r="F25" s="60"/>
      <c r="G25" s="60"/>
      <c r="H25" s="60"/>
      <c r="I25" s="61"/>
      <c r="J25" s="59"/>
    </row>
    <row r="26" spans="1:10" ht="24.75" customHeight="1" x14ac:dyDescent="0.25">
      <c r="A26" s="59"/>
      <c r="B26" s="62"/>
      <c r="C26" s="60"/>
      <c r="D26" s="63"/>
      <c r="E26" s="60"/>
      <c r="F26" s="64"/>
      <c r="G26" s="60"/>
      <c r="H26" s="65"/>
      <c r="I26" s="61"/>
      <c r="J26" s="59"/>
    </row>
    <row r="27" spans="1:10" ht="18.75" customHeight="1" x14ac:dyDescent="0.25">
      <c r="A27" s="59"/>
      <c r="B27" s="60"/>
      <c r="C27" s="60"/>
      <c r="D27" s="60"/>
      <c r="E27" s="60"/>
      <c r="F27" s="60"/>
      <c r="G27" s="60"/>
      <c r="H27" s="60"/>
      <c r="I27" s="61"/>
      <c r="J27" s="59"/>
    </row>
    <row r="28" spans="1:10" ht="24.75" customHeight="1" x14ac:dyDescent="0.25">
      <c r="A28" s="59"/>
      <c r="B28" s="62"/>
      <c r="C28" s="60"/>
      <c r="D28" s="63"/>
      <c r="E28" s="60"/>
      <c r="F28" s="64"/>
      <c r="G28" s="60"/>
      <c r="H28" s="65"/>
      <c r="I28" s="61"/>
      <c r="J28" s="59"/>
    </row>
    <row r="29" spans="1:10" ht="18.75" customHeight="1" x14ac:dyDescent="0.25">
      <c r="A29" s="59"/>
      <c r="B29" s="60"/>
      <c r="C29" s="60"/>
      <c r="D29" s="60"/>
      <c r="E29" s="60"/>
      <c r="F29" s="60"/>
      <c r="G29" s="60"/>
      <c r="H29" s="60"/>
      <c r="I29" s="61"/>
      <c r="J29" s="59"/>
    </row>
    <row r="30" spans="1:10" ht="24.75" customHeight="1" x14ac:dyDescent="0.25">
      <c r="A30" s="59"/>
      <c r="B30" s="62"/>
      <c r="C30" s="60"/>
      <c r="D30" s="63"/>
      <c r="E30" s="60"/>
      <c r="F30" s="64"/>
      <c r="G30" s="60"/>
      <c r="H30" s="65"/>
      <c r="I30" s="61"/>
      <c r="J30" s="59"/>
    </row>
    <row r="31" spans="1:10" ht="18.75" customHeight="1" x14ac:dyDescent="0.25">
      <c r="A31" s="59"/>
      <c r="B31" s="60"/>
      <c r="C31" s="60"/>
      <c r="D31" s="60"/>
      <c r="E31" s="60"/>
      <c r="F31" s="60"/>
      <c r="G31" s="60"/>
      <c r="H31" s="60"/>
      <c r="I31" s="61"/>
      <c r="J31" s="59"/>
    </row>
    <row r="32" spans="1:10" ht="24.75" customHeight="1" x14ac:dyDescent="0.25">
      <c r="A32" s="59"/>
      <c r="B32" s="62"/>
      <c r="C32" s="60"/>
      <c r="D32" s="63"/>
      <c r="E32" s="60"/>
      <c r="F32" s="64"/>
      <c r="G32" s="60"/>
      <c r="H32" s="65"/>
      <c r="I32" s="61"/>
      <c r="J32" s="59"/>
    </row>
    <row r="33" spans="1:10" ht="18.75" customHeight="1" x14ac:dyDescent="0.25">
      <c r="A33" s="59"/>
      <c r="B33" s="60"/>
      <c r="C33" s="60"/>
      <c r="D33" s="60"/>
      <c r="E33" s="60"/>
      <c r="F33" s="60"/>
      <c r="G33" s="60"/>
      <c r="H33" s="60"/>
      <c r="I33" s="61"/>
      <c r="J33" s="59"/>
    </row>
    <row r="34" spans="1:10" ht="24.75" customHeight="1" x14ac:dyDescent="0.25">
      <c r="A34" s="59"/>
      <c r="B34" s="62"/>
      <c r="C34" s="60"/>
      <c r="D34" s="63"/>
      <c r="E34" s="60"/>
      <c r="F34" s="64"/>
      <c r="G34" s="60"/>
      <c r="H34" s="65"/>
      <c r="I34" s="61"/>
      <c r="J34" s="59"/>
    </row>
    <row r="35" spans="1:10" ht="18.75" customHeight="1" x14ac:dyDescent="0.25">
      <c r="A35" s="59"/>
      <c r="B35" s="60"/>
      <c r="C35" s="60"/>
      <c r="D35" s="60"/>
      <c r="E35" s="60"/>
      <c r="F35" s="60"/>
      <c r="G35" s="60"/>
      <c r="H35" s="60"/>
      <c r="I35" s="61"/>
      <c r="J35" s="59"/>
    </row>
    <row r="36" spans="1:10" ht="24.75" customHeight="1" x14ac:dyDescent="0.25">
      <c r="A36" s="59"/>
      <c r="B36" s="62"/>
      <c r="C36" s="60"/>
      <c r="D36" s="63"/>
      <c r="E36" s="60"/>
      <c r="F36" s="64"/>
      <c r="G36" s="60"/>
      <c r="H36" s="65"/>
      <c r="I36" s="61"/>
      <c r="J36" s="59"/>
    </row>
    <row r="37" spans="1:10" ht="18.75" customHeight="1" x14ac:dyDescent="0.25">
      <c r="A37" s="59"/>
      <c r="B37" s="60"/>
      <c r="C37" s="60"/>
      <c r="D37" s="60"/>
      <c r="E37" s="60"/>
      <c r="F37" s="60"/>
      <c r="G37" s="60"/>
      <c r="H37" s="60"/>
      <c r="I37" s="61"/>
      <c r="J37" s="59"/>
    </row>
    <row r="38" spans="1:10" ht="24.75" customHeight="1" x14ac:dyDescent="0.25">
      <c r="A38" s="59"/>
      <c r="B38" s="62"/>
      <c r="C38" s="60"/>
      <c r="D38" s="63"/>
      <c r="E38" s="60"/>
      <c r="F38" s="64"/>
      <c r="G38" s="60"/>
      <c r="H38" s="65"/>
      <c r="I38" s="61"/>
      <c r="J38" s="59"/>
    </row>
    <row r="39" spans="1:10" ht="18.75" customHeight="1" x14ac:dyDescent="0.25">
      <c r="A39" s="59"/>
      <c r="B39" s="60"/>
      <c r="C39" s="60"/>
      <c r="D39" s="60"/>
      <c r="E39" s="60"/>
      <c r="F39" s="60"/>
      <c r="G39" s="60"/>
      <c r="H39" s="60"/>
      <c r="I39" s="61"/>
      <c r="J39" s="59"/>
    </row>
    <row r="40" spans="1:10" ht="24.75" customHeight="1" x14ac:dyDescent="0.25">
      <c r="A40" s="59"/>
      <c r="B40" s="62"/>
      <c r="C40" s="60"/>
      <c r="D40" s="63"/>
      <c r="E40" s="60"/>
      <c r="F40" s="64"/>
      <c r="G40" s="60"/>
      <c r="H40" s="65"/>
      <c r="I40" s="61"/>
      <c r="J40" s="59"/>
    </row>
    <row r="41" spans="1:10" ht="18.75" customHeight="1" x14ac:dyDescent="0.25">
      <c r="A41" s="59"/>
      <c r="B41" s="60"/>
      <c r="C41" s="60"/>
      <c r="D41" s="60"/>
      <c r="E41" s="60"/>
      <c r="F41" s="60"/>
      <c r="G41" s="60"/>
      <c r="H41" s="60"/>
      <c r="I41" s="61"/>
      <c r="J41" s="59"/>
    </row>
    <row r="42" spans="1:10" ht="24.75" customHeight="1" x14ac:dyDescent="0.25">
      <c r="A42" s="59"/>
      <c r="B42" s="62"/>
      <c r="C42" s="60"/>
      <c r="D42" s="63"/>
      <c r="E42" s="60"/>
      <c r="F42" s="64"/>
      <c r="G42" s="60"/>
      <c r="H42" s="65"/>
      <c r="I42" s="61"/>
      <c r="J42" s="59"/>
    </row>
    <row r="43" spans="1:10" ht="18.75" customHeight="1" x14ac:dyDescent="0.25">
      <c r="A43" s="59"/>
      <c r="B43" s="60"/>
      <c r="C43" s="60"/>
      <c r="D43" s="60"/>
      <c r="E43" s="60"/>
      <c r="F43" s="60"/>
      <c r="G43" s="60"/>
      <c r="H43" s="60"/>
      <c r="I43" s="61"/>
      <c r="J43" s="59"/>
    </row>
    <row r="44" spans="1:10" ht="24.75" customHeight="1" x14ac:dyDescent="0.25">
      <c r="A44" s="59"/>
      <c r="B44" s="62"/>
      <c r="C44" s="60"/>
      <c r="D44" s="63"/>
      <c r="E44" s="60"/>
      <c r="F44" s="64"/>
      <c r="G44" s="60"/>
      <c r="H44" s="65"/>
      <c r="I44" s="61"/>
      <c r="J44" s="59"/>
    </row>
    <row r="45" spans="1:10" ht="18.75" customHeight="1" x14ac:dyDescent="0.25">
      <c r="A45" s="59"/>
      <c r="B45" s="60"/>
      <c r="C45" s="60"/>
      <c r="D45" s="60"/>
      <c r="E45" s="60"/>
      <c r="F45" s="60"/>
      <c r="G45" s="60"/>
      <c r="H45" s="60"/>
      <c r="I45" s="61"/>
      <c r="J45" s="59"/>
    </row>
    <row r="46" spans="1:10" ht="24.75" customHeight="1" x14ac:dyDescent="0.25">
      <c r="A46" s="59"/>
      <c r="B46" s="62"/>
      <c r="C46" s="60"/>
      <c r="D46" s="63"/>
      <c r="E46" s="60"/>
      <c r="F46" s="64"/>
      <c r="G46" s="60"/>
      <c r="H46" s="65"/>
      <c r="I46" s="61"/>
      <c r="J46" s="59"/>
    </row>
    <row r="47" spans="1:10" ht="18.75" customHeight="1" x14ac:dyDescent="0.25">
      <c r="A47" s="59"/>
      <c r="B47" s="60"/>
      <c r="C47" s="60"/>
      <c r="D47" s="60"/>
      <c r="E47" s="60"/>
      <c r="F47" s="60"/>
      <c r="G47" s="60"/>
      <c r="H47" s="60"/>
      <c r="I47" s="61"/>
      <c r="J47" s="59"/>
    </row>
    <row r="48" spans="1:10" x14ac:dyDescent="0.25">
      <c r="A48" s="59"/>
      <c r="B48" s="59"/>
      <c r="C48" s="59"/>
      <c r="D48" s="59"/>
      <c r="E48" s="59"/>
      <c r="F48" s="59"/>
      <c r="G48" s="59"/>
      <c r="H48" s="59"/>
      <c r="I48" s="59"/>
      <c r="J48" s="59"/>
    </row>
    <row r="49" spans="1:10" x14ac:dyDescent="0.25">
      <c r="A49" s="59"/>
      <c r="B49" s="59"/>
      <c r="C49" s="59"/>
      <c r="D49" s="59"/>
      <c r="E49" s="59"/>
      <c r="F49" s="59"/>
      <c r="G49" s="59"/>
      <c r="H49" s="59"/>
      <c r="I49" s="59"/>
      <c r="J49" s="59"/>
    </row>
    <row r="50" spans="1:10" x14ac:dyDescent="0.25">
      <c r="A50" s="59"/>
      <c r="B50" s="59"/>
      <c r="C50" s="59"/>
      <c r="D50" s="59"/>
      <c r="E50" s="59"/>
      <c r="F50" s="59"/>
      <c r="G50" s="59"/>
      <c r="H50" s="59"/>
      <c r="I50" s="59"/>
      <c r="J50" s="59"/>
    </row>
    <row r="51" spans="1:10" x14ac:dyDescent="0.25">
      <c r="A51" s="59"/>
      <c r="B51" s="59"/>
      <c r="C51" s="59"/>
      <c r="D51" s="59"/>
      <c r="E51" s="59"/>
      <c r="F51" s="59"/>
      <c r="G51" s="59"/>
      <c r="H51" s="59"/>
      <c r="I51" s="59"/>
      <c r="J51" s="59"/>
    </row>
    <row r="52" spans="1:10" x14ac:dyDescent="0.25">
      <c r="A52" s="59"/>
      <c r="B52" s="59"/>
      <c r="C52" s="59"/>
      <c r="D52" s="59"/>
      <c r="E52" s="59"/>
      <c r="F52" s="59"/>
      <c r="G52" s="59"/>
      <c r="H52" s="59"/>
      <c r="I52" s="59"/>
      <c r="J52" s="59"/>
    </row>
    <row r="53" spans="1:10" x14ac:dyDescent="0.25">
      <c r="A53" s="59"/>
      <c r="B53" s="59"/>
      <c r="C53" s="59"/>
      <c r="D53" s="59"/>
      <c r="E53" s="59"/>
      <c r="F53" s="59"/>
      <c r="G53" s="59"/>
      <c r="H53" s="59"/>
      <c r="I53" s="59"/>
      <c r="J53" s="59"/>
    </row>
    <row r="54" spans="1:10" x14ac:dyDescent="0.25">
      <c r="A54" s="59"/>
      <c r="B54" s="59"/>
      <c r="C54" s="59"/>
      <c r="D54" s="59"/>
      <c r="E54" s="59"/>
      <c r="F54" s="59"/>
      <c r="G54" s="59"/>
      <c r="H54" s="59"/>
      <c r="I54" s="59"/>
      <c r="J54" s="59"/>
    </row>
    <row r="55" spans="1:10" x14ac:dyDescent="0.25">
      <c r="A55" s="59"/>
      <c r="B55" s="59"/>
      <c r="C55" s="59"/>
      <c r="D55" s="59"/>
      <c r="E55" s="59"/>
      <c r="F55" s="59"/>
      <c r="G55" s="59"/>
      <c r="H55" s="59"/>
      <c r="I55" s="59"/>
      <c r="J55" s="59"/>
    </row>
    <row r="56" spans="1:10" x14ac:dyDescent="0.25">
      <c r="A56" s="59"/>
      <c r="B56" s="59"/>
      <c r="C56" s="59"/>
      <c r="D56" s="59"/>
      <c r="E56" s="59"/>
      <c r="F56" s="59"/>
      <c r="G56" s="59"/>
      <c r="H56" s="59"/>
      <c r="I56" s="59"/>
      <c r="J56" s="59"/>
    </row>
    <row r="57" spans="1:10" x14ac:dyDescent="0.25">
      <c r="A57" s="59"/>
      <c r="B57" s="59"/>
      <c r="C57" s="59"/>
      <c r="D57" s="59"/>
      <c r="E57" s="59"/>
      <c r="F57" s="59"/>
      <c r="G57" s="59"/>
      <c r="H57" s="59"/>
      <c r="I57" s="59"/>
      <c r="J57" s="59"/>
    </row>
    <row r="58" spans="1:10" x14ac:dyDescent="0.25">
      <c r="A58" s="59"/>
      <c r="B58" s="59"/>
      <c r="C58" s="59"/>
      <c r="D58" s="59"/>
      <c r="E58" s="59"/>
      <c r="F58" s="59"/>
      <c r="G58" s="59"/>
      <c r="H58" s="59"/>
      <c r="I58" s="59"/>
      <c r="J58" s="59"/>
    </row>
    <row r="59" spans="1:10" x14ac:dyDescent="0.25">
      <c r="A59" s="59"/>
      <c r="B59" s="59"/>
      <c r="C59" s="59"/>
      <c r="D59" s="59"/>
      <c r="E59" s="59"/>
      <c r="F59" s="59"/>
      <c r="G59" s="59"/>
      <c r="H59" s="59"/>
      <c r="I59" s="59"/>
      <c r="J59" s="59"/>
    </row>
    <row r="60" spans="1:10" x14ac:dyDescent="0.25">
      <c r="A60" s="59"/>
      <c r="B60" s="59"/>
      <c r="C60" s="59"/>
      <c r="D60" s="59"/>
      <c r="E60" s="59"/>
      <c r="F60" s="59"/>
      <c r="G60" s="59"/>
      <c r="H60" s="59"/>
      <c r="I60" s="59"/>
      <c r="J60" s="59"/>
    </row>
    <row r="61" spans="1:10" x14ac:dyDescent="0.25">
      <c r="A61" s="59"/>
      <c r="B61" s="59"/>
      <c r="C61" s="59"/>
      <c r="D61" s="59"/>
      <c r="E61" s="59"/>
      <c r="F61" s="59"/>
      <c r="G61" s="59"/>
      <c r="H61" s="59"/>
      <c r="I61" s="59"/>
      <c r="J61" s="59"/>
    </row>
    <row r="62" spans="1:10" x14ac:dyDescent="0.25">
      <c r="A62" s="59"/>
      <c r="B62" s="59"/>
      <c r="C62" s="59"/>
      <c r="D62" s="59"/>
      <c r="E62" s="59"/>
      <c r="F62" s="59"/>
      <c r="G62" s="59"/>
      <c r="H62" s="59"/>
      <c r="I62" s="59"/>
      <c r="J62" s="59"/>
    </row>
    <row r="63" spans="1:10" x14ac:dyDescent="0.25">
      <c r="A63" s="59"/>
      <c r="B63" s="59"/>
      <c r="C63" s="59"/>
      <c r="D63" s="59"/>
      <c r="E63" s="59"/>
      <c r="F63" s="59"/>
      <c r="G63" s="59"/>
      <c r="H63" s="59"/>
      <c r="I63" s="59"/>
      <c r="J63" s="59"/>
    </row>
    <row r="64" spans="1:10" x14ac:dyDescent="0.25">
      <c r="A64" s="59"/>
      <c r="B64" s="59"/>
      <c r="C64" s="59"/>
      <c r="D64" s="59"/>
      <c r="E64" s="59"/>
      <c r="F64" s="59"/>
      <c r="G64" s="59"/>
      <c r="H64" s="59"/>
      <c r="I64" s="59"/>
      <c r="J64" s="59"/>
    </row>
    <row r="65" spans="1:10" x14ac:dyDescent="0.25">
      <c r="A65" s="59"/>
      <c r="B65" s="59"/>
      <c r="C65" s="59"/>
      <c r="D65" s="59"/>
      <c r="E65" s="59"/>
      <c r="F65" s="59"/>
      <c r="G65" s="59"/>
      <c r="H65" s="59"/>
      <c r="I65" s="59"/>
      <c r="J65" s="59"/>
    </row>
    <row r="66" spans="1:10" x14ac:dyDescent="0.25">
      <c r="A66" s="59"/>
      <c r="B66" s="59"/>
      <c r="C66" s="59"/>
      <c r="D66" s="59"/>
      <c r="E66" s="59"/>
      <c r="F66" s="59"/>
      <c r="G66" s="59"/>
      <c r="H66" s="59"/>
      <c r="I66" s="59"/>
      <c r="J66" s="59"/>
    </row>
    <row r="67" spans="1:10" x14ac:dyDescent="0.25">
      <c r="A67" s="59"/>
      <c r="B67" s="59"/>
      <c r="C67" s="59"/>
      <c r="D67" s="59"/>
      <c r="E67" s="59"/>
      <c r="F67" s="59"/>
      <c r="G67" s="59"/>
      <c r="H67" s="59"/>
      <c r="I67" s="59"/>
      <c r="J67" s="59"/>
    </row>
    <row r="68" spans="1:10" x14ac:dyDescent="0.25">
      <c r="A68" s="59"/>
      <c r="B68" s="59"/>
      <c r="C68" s="59"/>
      <c r="D68" s="59"/>
      <c r="E68" s="59"/>
      <c r="F68" s="59"/>
      <c r="G68" s="59"/>
      <c r="H68" s="59"/>
      <c r="I68" s="59"/>
      <c r="J68" s="59"/>
    </row>
    <row r="69" spans="1:10" x14ac:dyDescent="0.25">
      <c r="A69" s="59"/>
      <c r="B69" s="59"/>
      <c r="C69" s="59"/>
      <c r="D69" s="59"/>
      <c r="E69" s="59"/>
      <c r="F69" s="59"/>
      <c r="G69" s="59"/>
      <c r="H69" s="59"/>
      <c r="I69" s="59"/>
      <c r="J69" s="59"/>
    </row>
    <row r="70" spans="1:10" x14ac:dyDescent="0.25">
      <c r="A70" s="59"/>
      <c r="B70" s="59"/>
      <c r="C70" s="59"/>
      <c r="D70" s="59"/>
      <c r="E70" s="59"/>
      <c r="F70" s="59"/>
      <c r="G70" s="59"/>
      <c r="H70" s="59"/>
      <c r="I70" s="59"/>
      <c r="J70" s="59"/>
    </row>
    <row r="71" spans="1:10" x14ac:dyDescent="0.25">
      <c r="A71" s="59"/>
      <c r="B71" s="59"/>
      <c r="C71" s="59"/>
      <c r="D71" s="59"/>
      <c r="E71" s="59"/>
      <c r="F71" s="59"/>
      <c r="G71" s="59"/>
      <c r="H71" s="59"/>
      <c r="I71" s="59"/>
      <c r="J71" s="59"/>
    </row>
    <row r="72" spans="1:10" x14ac:dyDescent="0.25">
      <c r="A72" s="59"/>
      <c r="B72" s="59"/>
      <c r="C72" s="59"/>
      <c r="D72" s="59"/>
      <c r="E72" s="59"/>
      <c r="F72" s="59"/>
      <c r="G72" s="59"/>
      <c r="H72" s="59"/>
      <c r="I72" s="59"/>
      <c r="J72" s="59"/>
    </row>
    <row r="73" spans="1:10" x14ac:dyDescent="0.25">
      <c r="A73" s="59"/>
      <c r="B73" s="59"/>
      <c r="C73" s="59"/>
      <c r="D73" s="59"/>
      <c r="E73" s="59"/>
      <c r="F73" s="59"/>
      <c r="G73" s="59"/>
      <c r="H73" s="59"/>
      <c r="I73" s="59"/>
      <c r="J73" s="59"/>
    </row>
    <row r="74" spans="1:10" x14ac:dyDescent="0.25">
      <c r="A74" s="59"/>
      <c r="B74" s="59"/>
      <c r="C74" s="59"/>
      <c r="D74" s="59"/>
      <c r="E74" s="59"/>
      <c r="F74" s="59"/>
      <c r="G74" s="59"/>
      <c r="H74" s="59"/>
      <c r="I74" s="59"/>
      <c r="J74" s="59"/>
    </row>
    <row r="75" spans="1:10" x14ac:dyDescent="0.25">
      <c r="A75" s="59"/>
      <c r="B75" s="59"/>
      <c r="C75" s="59"/>
      <c r="D75" s="59"/>
      <c r="E75" s="59"/>
      <c r="F75" s="59"/>
      <c r="G75" s="59"/>
      <c r="H75" s="59"/>
      <c r="I75" s="59"/>
      <c r="J75" s="59"/>
    </row>
    <row r="76" spans="1:10" x14ac:dyDescent="0.25">
      <c r="A76" s="59"/>
      <c r="B76" s="59"/>
      <c r="C76" s="59"/>
      <c r="D76" s="59"/>
      <c r="E76" s="59"/>
      <c r="F76" s="59"/>
      <c r="G76" s="59"/>
      <c r="H76" s="59"/>
      <c r="I76" s="59"/>
      <c r="J76" s="59"/>
    </row>
    <row r="77" spans="1:10" x14ac:dyDescent="0.25">
      <c r="A77" s="59"/>
      <c r="B77" s="59"/>
      <c r="C77" s="59"/>
      <c r="D77" s="59"/>
      <c r="E77" s="59"/>
      <c r="F77" s="59"/>
      <c r="G77" s="59"/>
      <c r="H77" s="59"/>
      <c r="I77" s="59"/>
      <c r="J77" s="59"/>
    </row>
    <row r="78" spans="1:10" x14ac:dyDescent="0.25">
      <c r="A78" s="59"/>
      <c r="B78" s="59"/>
      <c r="C78" s="59"/>
      <c r="D78" s="59"/>
      <c r="E78" s="59"/>
      <c r="F78" s="59"/>
      <c r="G78" s="59"/>
      <c r="H78" s="59"/>
      <c r="I78" s="59"/>
      <c r="J78" s="59"/>
    </row>
    <row r="79" spans="1:10" x14ac:dyDescent="0.25">
      <c r="A79" s="59"/>
      <c r="B79" s="59"/>
      <c r="C79" s="59"/>
      <c r="D79" s="59"/>
      <c r="E79" s="59"/>
      <c r="F79" s="59"/>
      <c r="G79" s="59"/>
      <c r="H79" s="59"/>
      <c r="I79" s="59"/>
      <c r="J79" s="59"/>
    </row>
    <row r="80" spans="1:10" x14ac:dyDescent="0.25">
      <c r="A80" s="59"/>
      <c r="B80" s="59"/>
      <c r="C80" s="59"/>
      <c r="D80" s="59"/>
      <c r="E80" s="59"/>
      <c r="F80" s="59"/>
      <c r="G80" s="59"/>
      <c r="H80" s="59"/>
      <c r="I80" s="59"/>
      <c r="J80" s="59"/>
    </row>
    <row r="81" spans="1:10" x14ac:dyDescent="0.25">
      <c r="A81" s="59"/>
      <c r="B81" s="59"/>
      <c r="C81" s="59"/>
      <c r="D81" s="59"/>
      <c r="E81" s="59"/>
      <c r="F81" s="59"/>
      <c r="G81" s="59"/>
      <c r="H81" s="59"/>
      <c r="I81" s="59"/>
      <c r="J81" s="59"/>
    </row>
    <row r="82" spans="1:10" x14ac:dyDescent="0.25">
      <c r="A82" s="59"/>
      <c r="B82" s="59"/>
      <c r="C82" s="59"/>
      <c r="D82" s="59"/>
      <c r="E82" s="59"/>
      <c r="F82" s="59"/>
      <c r="G82" s="59"/>
      <c r="H82" s="59"/>
      <c r="I82" s="59"/>
      <c r="J82" s="59"/>
    </row>
    <row r="83" spans="1:10" x14ac:dyDescent="0.25">
      <c r="A83" s="59"/>
      <c r="B83" s="59"/>
      <c r="C83" s="59"/>
      <c r="D83" s="59"/>
      <c r="E83" s="59"/>
      <c r="F83" s="59"/>
      <c r="G83" s="59"/>
      <c r="H83" s="59"/>
      <c r="I83" s="59"/>
      <c r="J83" s="59"/>
    </row>
    <row r="84" spans="1:10" x14ac:dyDescent="0.25">
      <c r="A84" s="59"/>
      <c r="B84" s="59"/>
      <c r="C84" s="59"/>
      <c r="D84" s="59"/>
      <c r="E84" s="59"/>
      <c r="F84" s="59"/>
      <c r="G84" s="59"/>
      <c r="H84" s="59"/>
      <c r="I84" s="59"/>
      <c r="J84" s="59"/>
    </row>
    <row r="85" spans="1:10" x14ac:dyDescent="0.25">
      <c r="A85" s="59"/>
      <c r="B85" s="59"/>
      <c r="C85" s="59"/>
      <c r="D85" s="59"/>
      <c r="E85" s="59"/>
      <c r="F85" s="59"/>
      <c r="G85" s="59"/>
      <c r="H85" s="59"/>
      <c r="I85" s="59"/>
      <c r="J85" s="59"/>
    </row>
    <row r="86" spans="1:10" x14ac:dyDescent="0.25">
      <c r="A86" s="59"/>
      <c r="B86" s="59"/>
      <c r="C86" s="59"/>
      <c r="D86" s="59"/>
      <c r="E86" s="59"/>
      <c r="F86" s="59"/>
      <c r="G86" s="59"/>
      <c r="H86" s="59"/>
      <c r="I86" s="59"/>
      <c r="J86" s="59"/>
    </row>
    <row r="87" spans="1:10" x14ac:dyDescent="0.25">
      <c r="A87" s="59"/>
      <c r="B87" s="59"/>
      <c r="C87" s="59"/>
      <c r="D87" s="59"/>
      <c r="E87" s="59"/>
      <c r="F87" s="59"/>
      <c r="G87" s="59"/>
      <c r="H87" s="59"/>
      <c r="I87" s="59"/>
      <c r="J87" s="59"/>
    </row>
    <row r="88" spans="1:10" x14ac:dyDescent="0.25">
      <c r="A88" s="59"/>
      <c r="B88" s="59"/>
      <c r="C88" s="59"/>
      <c r="D88" s="59"/>
      <c r="E88" s="59"/>
      <c r="F88" s="59"/>
      <c r="G88" s="59"/>
      <c r="H88" s="59"/>
      <c r="I88" s="59"/>
      <c r="J88" s="59"/>
    </row>
    <row r="89" spans="1:10" x14ac:dyDescent="0.25">
      <c r="A89" s="59"/>
      <c r="B89" s="59"/>
      <c r="C89" s="59"/>
      <c r="D89" s="59"/>
      <c r="E89" s="59"/>
      <c r="F89" s="59"/>
      <c r="G89" s="59"/>
      <c r="H89" s="59"/>
      <c r="I89" s="59"/>
      <c r="J89" s="59"/>
    </row>
    <row r="90" spans="1:10" x14ac:dyDescent="0.25">
      <c r="A90" s="59"/>
      <c r="B90" s="59"/>
      <c r="C90" s="59"/>
      <c r="D90" s="59"/>
      <c r="E90" s="59"/>
      <c r="F90" s="59"/>
      <c r="G90" s="59"/>
      <c r="H90" s="59"/>
      <c r="I90" s="59"/>
      <c r="J90" s="59"/>
    </row>
    <row r="91" spans="1:10" x14ac:dyDescent="0.25">
      <c r="A91" s="59"/>
      <c r="B91" s="59"/>
      <c r="C91" s="59"/>
      <c r="D91" s="59"/>
      <c r="E91" s="59"/>
      <c r="F91" s="59"/>
      <c r="G91" s="59"/>
      <c r="H91" s="59"/>
      <c r="I91" s="59"/>
      <c r="J91" s="59"/>
    </row>
    <row r="92" spans="1:10" x14ac:dyDescent="0.25">
      <c r="A92" s="59"/>
      <c r="B92" s="59"/>
      <c r="C92" s="59"/>
      <c r="D92" s="59"/>
      <c r="E92" s="59"/>
      <c r="F92" s="59"/>
      <c r="G92" s="59"/>
      <c r="H92" s="59"/>
      <c r="I92" s="59"/>
      <c r="J92" s="59"/>
    </row>
    <row r="93" spans="1:10" x14ac:dyDescent="0.25">
      <c r="A93" s="59"/>
      <c r="B93" s="59"/>
      <c r="C93" s="59"/>
      <c r="D93" s="59"/>
      <c r="E93" s="59"/>
      <c r="F93" s="59"/>
      <c r="G93" s="59"/>
      <c r="H93" s="59"/>
      <c r="I93" s="59"/>
      <c r="J93" s="59"/>
    </row>
    <row r="94" spans="1:10" x14ac:dyDescent="0.25">
      <c r="A94" s="59"/>
      <c r="B94" s="59"/>
      <c r="C94" s="59"/>
      <c r="D94" s="59"/>
      <c r="E94" s="59"/>
      <c r="F94" s="59"/>
      <c r="G94" s="59"/>
      <c r="H94" s="59"/>
      <c r="I94" s="59"/>
      <c r="J94" s="59"/>
    </row>
    <row r="95" spans="1:10" x14ac:dyDescent="0.25">
      <c r="A95" s="59"/>
      <c r="B95" s="59"/>
      <c r="C95" s="59"/>
      <c r="D95" s="59"/>
      <c r="E95" s="59"/>
      <c r="F95" s="59"/>
      <c r="G95" s="59"/>
      <c r="H95" s="59"/>
      <c r="I95" s="59"/>
      <c r="J95" s="59"/>
    </row>
    <row r="96" spans="1:10" x14ac:dyDescent="0.25">
      <c r="A96" s="59"/>
      <c r="B96" s="59"/>
      <c r="C96" s="59"/>
      <c r="D96" s="59"/>
      <c r="E96" s="59"/>
      <c r="F96" s="59"/>
      <c r="G96" s="59"/>
      <c r="H96" s="59"/>
      <c r="I96" s="59"/>
      <c r="J96" s="59"/>
    </row>
    <row r="97" spans="1:10" x14ac:dyDescent="0.25">
      <c r="A97" s="59"/>
      <c r="B97" s="59"/>
      <c r="C97" s="59"/>
      <c r="D97" s="59"/>
      <c r="E97" s="59"/>
      <c r="F97" s="59"/>
      <c r="G97" s="59"/>
      <c r="H97" s="59"/>
      <c r="I97" s="59"/>
      <c r="J97" s="59"/>
    </row>
    <row r="98" spans="1:10" x14ac:dyDescent="0.25">
      <c r="A98" s="59"/>
      <c r="B98" s="59"/>
      <c r="C98" s="59"/>
      <c r="D98" s="59"/>
      <c r="E98" s="59"/>
      <c r="F98" s="59"/>
      <c r="G98" s="59"/>
      <c r="H98" s="59"/>
      <c r="I98" s="59"/>
      <c r="J98" s="59"/>
    </row>
    <row r="99" spans="1:10" x14ac:dyDescent="0.25">
      <c r="A99" s="59"/>
      <c r="B99" s="59"/>
      <c r="C99" s="59"/>
      <c r="D99" s="59"/>
      <c r="E99" s="59"/>
      <c r="F99" s="59"/>
      <c r="G99" s="59"/>
      <c r="H99" s="59"/>
      <c r="I99" s="59"/>
      <c r="J99" s="59"/>
    </row>
    <row r="100" spans="1:10" x14ac:dyDescent="0.25">
      <c r="A100" s="59"/>
      <c r="B100" s="59"/>
      <c r="C100" s="59"/>
      <c r="D100" s="59"/>
      <c r="E100" s="59"/>
      <c r="F100" s="59"/>
      <c r="G100" s="59"/>
      <c r="H100" s="59"/>
      <c r="I100" s="59"/>
      <c r="J100" s="59"/>
    </row>
    <row r="101" spans="1:10" x14ac:dyDescent="0.25">
      <c r="A101" s="59"/>
      <c r="B101" s="59"/>
      <c r="C101" s="59"/>
      <c r="D101" s="59"/>
      <c r="E101" s="59"/>
      <c r="F101" s="59"/>
      <c r="G101" s="59"/>
      <c r="H101" s="59"/>
      <c r="I101" s="59"/>
      <c r="J101" s="59"/>
    </row>
    <row r="102" spans="1:10" x14ac:dyDescent="0.25">
      <c r="A102" s="59"/>
      <c r="B102" s="59"/>
      <c r="C102" s="59"/>
      <c r="D102" s="59"/>
      <c r="E102" s="59"/>
      <c r="F102" s="59"/>
      <c r="G102" s="59"/>
      <c r="H102" s="59"/>
      <c r="I102" s="59"/>
      <c r="J102" s="59"/>
    </row>
    <row r="103" spans="1:10" x14ac:dyDescent="0.25">
      <c r="A103" s="59"/>
      <c r="B103" s="59"/>
      <c r="C103" s="59"/>
      <c r="D103" s="59"/>
      <c r="E103" s="59"/>
      <c r="F103" s="59"/>
      <c r="G103" s="59"/>
      <c r="H103" s="59"/>
      <c r="I103" s="59"/>
      <c r="J103" s="59"/>
    </row>
    <row r="104" spans="1:10" x14ac:dyDescent="0.25">
      <c r="A104" s="59"/>
      <c r="B104" s="59"/>
      <c r="C104" s="59"/>
      <c r="D104" s="59"/>
      <c r="E104" s="59"/>
      <c r="F104" s="59"/>
      <c r="G104" s="59"/>
      <c r="H104" s="59"/>
      <c r="I104" s="59"/>
      <c r="J104" s="59"/>
    </row>
    <row r="105" spans="1:10" x14ac:dyDescent="0.25">
      <c r="A105" s="59"/>
      <c r="B105" s="59"/>
      <c r="C105" s="59"/>
      <c r="D105" s="59"/>
      <c r="E105" s="59"/>
      <c r="F105" s="59"/>
      <c r="G105" s="59"/>
      <c r="H105" s="59"/>
      <c r="I105" s="59"/>
      <c r="J105" s="59"/>
    </row>
    <row r="106" spans="1:10" x14ac:dyDescent="0.25">
      <c r="A106" s="59"/>
      <c r="B106" s="59"/>
      <c r="C106" s="59"/>
      <c r="D106" s="59"/>
      <c r="E106" s="59"/>
      <c r="F106" s="59"/>
      <c r="G106" s="59"/>
      <c r="H106" s="59"/>
      <c r="I106" s="59"/>
      <c r="J106" s="59"/>
    </row>
    <row r="107" spans="1:10" x14ac:dyDescent="0.25">
      <c r="A107" s="59"/>
      <c r="B107" s="59"/>
      <c r="C107" s="59"/>
      <c r="D107" s="59"/>
      <c r="E107" s="59"/>
      <c r="F107" s="59"/>
      <c r="G107" s="59"/>
      <c r="H107" s="59"/>
      <c r="I107" s="59"/>
      <c r="J107" s="59"/>
    </row>
    <row r="108" spans="1:10" x14ac:dyDescent="0.25">
      <c r="A108" s="59"/>
      <c r="B108" s="59"/>
      <c r="C108" s="59"/>
      <c r="D108" s="59"/>
      <c r="E108" s="59"/>
      <c r="F108" s="59"/>
      <c r="G108" s="59"/>
      <c r="H108" s="59"/>
      <c r="I108" s="59"/>
      <c r="J108" s="59"/>
    </row>
    <row r="109" spans="1:10" x14ac:dyDescent="0.25">
      <c r="A109" s="59"/>
      <c r="B109" s="59"/>
      <c r="C109" s="59"/>
      <c r="D109" s="59"/>
      <c r="E109" s="59"/>
      <c r="F109" s="59"/>
      <c r="G109" s="59"/>
      <c r="H109" s="59"/>
      <c r="I109" s="59"/>
      <c r="J109" s="59"/>
    </row>
    <row r="110" spans="1:10" x14ac:dyDescent="0.25">
      <c r="A110" s="59"/>
      <c r="B110" s="59"/>
      <c r="C110" s="59"/>
      <c r="D110" s="59"/>
      <c r="E110" s="59"/>
      <c r="F110" s="59"/>
      <c r="G110" s="59"/>
      <c r="H110" s="59"/>
      <c r="I110" s="59"/>
      <c r="J110" s="59"/>
    </row>
    <row r="111" spans="1:10" x14ac:dyDescent="0.25">
      <c r="A111" s="59"/>
      <c r="B111" s="59"/>
      <c r="C111" s="59"/>
      <c r="D111" s="59"/>
      <c r="E111" s="59"/>
      <c r="F111" s="59"/>
      <c r="G111" s="59"/>
      <c r="H111" s="59"/>
      <c r="I111" s="59"/>
      <c r="J111" s="59"/>
    </row>
    <row r="112" spans="1:10" x14ac:dyDescent="0.25">
      <c r="A112" s="59"/>
      <c r="B112" s="59"/>
      <c r="C112" s="59"/>
      <c r="D112" s="59"/>
      <c r="E112" s="59"/>
      <c r="F112" s="59"/>
      <c r="G112" s="59"/>
      <c r="H112" s="59"/>
      <c r="I112" s="59"/>
      <c r="J112" s="59"/>
    </row>
    <row r="113" spans="1:10" x14ac:dyDescent="0.25">
      <c r="A113" s="59"/>
      <c r="B113" s="59"/>
      <c r="C113" s="59"/>
      <c r="D113" s="59"/>
      <c r="E113" s="59"/>
      <c r="F113" s="59"/>
      <c r="G113" s="59"/>
      <c r="H113" s="59"/>
      <c r="I113" s="59"/>
      <c r="J113" s="59"/>
    </row>
    <row r="114" spans="1:10" x14ac:dyDescent="0.25">
      <c r="A114" s="59"/>
      <c r="B114" s="59"/>
      <c r="C114" s="59"/>
      <c r="D114" s="59"/>
      <c r="E114" s="59"/>
      <c r="F114" s="59"/>
      <c r="G114" s="59"/>
      <c r="H114" s="59"/>
      <c r="I114" s="59"/>
      <c r="J114" s="59"/>
    </row>
    <row r="115" spans="1:10" x14ac:dyDescent="0.25">
      <c r="A115" s="59"/>
      <c r="B115" s="59"/>
      <c r="C115" s="59"/>
      <c r="D115" s="59"/>
      <c r="E115" s="59"/>
      <c r="F115" s="59"/>
      <c r="G115" s="59"/>
      <c r="H115" s="59"/>
      <c r="I115" s="59"/>
      <c r="J115" s="59"/>
    </row>
    <row r="116" spans="1:10" x14ac:dyDescent="0.25">
      <c r="A116" s="59"/>
      <c r="B116" s="59"/>
      <c r="C116" s="59"/>
      <c r="D116" s="59"/>
      <c r="E116" s="59"/>
      <c r="F116" s="59"/>
      <c r="G116" s="59"/>
      <c r="H116" s="59"/>
      <c r="I116" s="59"/>
      <c r="J116" s="59"/>
    </row>
    <row r="117" spans="1:10" x14ac:dyDescent="0.25">
      <c r="A117" s="59"/>
      <c r="B117" s="59"/>
      <c r="C117" s="59"/>
      <c r="D117" s="59"/>
      <c r="E117" s="59"/>
      <c r="F117" s="59"/>
      <c r="G117" s="59"/>
      <c r="H117" s="59"/>
      <c r="I117" s="59"/>
      <c r="J117" s="59"/>
    </row>
    <row r="118" spans="1:10" x14ac:dyDescent="0.25">
      <c r="A118" s="59"/>
      <c r="B118" s="59"/>
      <c r="C118" s="59"/>
      <c r="D118" s="59"/>
      <c r="E118" s="59"/>
      <c r="F118" s="59"/>
      <c r="G118" s="59"/>
      <c r="H118" s="59"/>
      <c r="I118" s="59"/>
      <c r="J118" s="59"/>
    </row>
    <row r="119" spans="1:10" x14ac:dyDescent="0.25">
      <c r="A119" s="59"/>
      <c r="B119" s="59"/>
      <c r="C119" s="59"/>
      <c r="D119" s="59"/>
      <c r="E119" s="59"/>
      <c r="F119" s="59"/>
      <c r="G119" s="59"/>
      <c r="H119" s="59"/>
      <c r="I119" s="59"/>
      <c r="J119" s="59"/>
    </row>
    <row r="120" spans="1:10" x14ac:dyDescent="0.25">
      <c r="A120" s="59"/>
      <c r="B120" s="59"/>
      <c r="C120" s="59"/>
      <c r="D120" s="59"/>
      <c r="E120" s="59"/>
      <c r="F120" s="59"/>
      <c r="G120" s="59"/>
      <c r="H120" s="59"/>
      <c r="I120" s="59"/>
      <c r="J120" s="59"/>
    </row>
  </sheetData>
  <sheetProtection selectLockedCells="1"/>
  <mergeCells count="3">
    <mergeCell ref="B1:H2"/>
    <mergeCell ref="K1:L2"/>
    <mergeCell ref="B10:H12"/>
  </mergeCells>
  <dataValidations count="1">
    <dataValidation operator="greaterThanOrEqual" allowBlank="1" showInputMessage="1" showErrorMessage="1" sqref="D5 D46 D44 D42 D40 D38 D36 D34 D32 D30 D28 D26 D24 D22 D20 D18" xr:uid="{5CAE070C-BDF7-446D-A8AE-3FBC2A4F5F44}"/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showInputMessage="1" showErrorMessage="1" errorTitle="ERROR" error="Seleccione un Método de Pago Válido!" promptTitle="MÉTODO" prompt="Seleccione un método de pago" xr:uid="{8D066DC8-00F4-475D-ACDE-D3B53C4A788D}">
          <x14:formula1>
            <xm:f>MÉTODOS_DE_PAGO!$A$2:$A$4</xm:f>
          </x14:formula1>
          <xm:sqref>L7</xm:sqref>
        </x14:dataValidation>
        <x14:dataValidation type="list" allowBlank="1" showInputMessage="1" promptTitle="MÉTODO DE PAGO" prompt="Seleccionar un método de pago" xr:uid="{30E16595-0C35-428F-BD34-B489E1A213E4}">
          <x14:formula1>
            <xm:f>MÉTODOS_DE_PAGO!$A$2:$A$4</xm:f>
          </x14:formula1>
          <xm:sqref>L5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C66C3-2963-49A2-903B-019F21460AC2}">
  <sheetPr codeName="Hoja2"/>
  <dimension ref="B2:J9"/>
  <sheetViews>
    <sheetView zoomScaleNormal="100" workbookViewId="0">
      <selection activeCell="J7" sqref="J7"/>
    </sheetView>
  </sheetViews>
  <sheetFormatPr baseColWidth="10" defaultRowHeight="15" x14ac:dyDescent="0.25"/>
  <cols>
    <col min="2" max="2" width="12.140625" customWidth="1"/>
    <col min="3" max="3" width="16.7109375" style="31" customWidth="1"/>
    <col min="4" max="4" width="16.42578125" style="22" customWidth="1"/>
    <col min="5" max="5" width="14.28515625" style="29" customWidth="1"/>
    <col min="6" max="6" width="11.42578125" style="23" customWidth="1"/>
    <col min="7" max="7" width="12.140625" style="23" customWidth="1"/>
    <col min="8" max="8" width="13" style="23" customWidth="1"/>
    <col min="9" max="9" width="15.85546875" style="22" customWidth="1"/>
    <col min="10" max="10" width="17.28515625" customWidth="1"/>
  </cols>
  <sheetData>
    <row r="2" spans="2:10" x14ac:dyDescent="0.25">
      <c r="B2" s="45" t="s">
        <v>95</v>
      </c>
      <c r="C2" s="45" t="s">
        <v>96</v>
      </c>
      <c r="D2" s="36" t="s">
        <v>86</v>
      </c>
      <c r="E2" s="26" t="s">
        <v>97</v>
      </c>
      <c r="F2" s="27" t="s">
        <v>5</v>
      </c>
      <c r="G2" s="30" t="s">
        <v>98</v>
      </c>
      <c r="H2" s="30" t="s">
        <v>99</v>
      </c>
      <c r="I2" s="25" t="s">
        <v>84</v>
      </c>
      <c r="J2" s="26" t="s">
        <v>87</v>
      </c>
    </row>
    <row r="3" spans="2:10" x14ac:dyDescent="0.25">
      <c r="B3" s="35"/>
      <c r="C3" s="35"/>
      <c r="D3" s="24"/>
      <c r="E3" s="32"/>
      <c r="F3" s="33"/>
      <c r="G3" s="34"/>
      <c r="H3" s="34"/>
      <c r="I3" s="35"/>
      <c r="J3" s="32"/>
    </row>
    <row r="4" spans="2:10" x14ac:dyDescent="0.25">
      <c r="C4" s="20"/>
      <c r="D4" s="21"/>
      <c r="E4" s="28"/>
    </row>
    <row r="5" spans="2:10" x14ac:dyDescent="0.25">
      <c r="C5" s="20"/>
      <c r="D5" s="21"/>
      <c r="E5" s="28"/>
    </row>
    <row r="6" spans="2:10" x14ac:dyDescent="0.25">
      <c r="C6" s="20"/>
      <c r="D6" s="21"/>
      <c r="E6" s="28"/>
    </row>
    <row r="7" spans="2:10" x14ac:dyDescent="0.25">
      <c r="C7" s="20"/>
      <c r="D7" s="21"/>
      <c r="E7" s="28"/>
    </row>
    <row r="8" spans="2:10" x14ac:dyDescent="0.25">
      <c r="C8" s="20"/>
      <c r="D8" s="21"/>
      <c r="E8" s="28"/>
    </row>
    <row r="9" spans="2:10" x14ac:dyDescent="0.25">
      <c r="C9" s="20"/>
      <c r="D9" s="21"/>
      <c r="E9" s="28"/>
    </row>
  </sheetData>
  <phoneticPr fontId="9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B7F55-8E9F-4095-AAB2-CBBCBFC3911A}">
  <sheetPr codeName="Hoja7"/>
  <dimension ref="B1:F17"/>
  <sheetViews>
    <sheetView zoomScale="115" zoomScaleNormal="115" workbookViewId="0">
      <selection activeCell="E10" sqref="E10"/>
    </sheetView>
  </sheetViews>
  <sheetFormatPr baseColWidth="10" defaultRowHeight="12" x14ac:dyDescent="0.2"/>
  <cols>
    <col min="1" max="1" width="0.28515625" style="1" customWidth="1"/>
    <col min="2" max="2" width="4.7109375" style="2" customWidth="1"/>
    <col min="3" max="3" width="20.5703125" style="1" customWidth="1"/>
    <col min="4" max="4" width="10.85546875" style="46" customWidth="1"/>
    <col min="5" max="5" width="9.5703125" style="1" customWidth="1"/>
    <col min="6" max="16384" width="11.42578125" style="1"/>
  </cols>
  <sheetData>
    <row r="1" spans="2:6" ht="126" customHeight="1" x14ac:dyDescent="0.2">
      <c r="B1" s="56"/>
      <c r="C1" s="56"/>
      <c r="D1" s="56"/>
      <c r="E1" s="2"/>
    </row>
    <row r="2" spans="2:6" x14ac:dyDescent="0.2">
      <c r="B2" s="57" t="s">
        <v>6</v>
      </c>
      <c r="C2" s="54"/>
      <c r="D2" s="54"/>
      <c r="E2" s="2"/>
    </row>
    <row r="3" spans="2:6" x14ac:dyDescent="0.2">
      <c r="B3" s="57"/>
      <c r="C3" s="57"/>
      <c r="D3" s="57"/>
      <c r="E3" s="6"/>
    </row>
    <row r="4" spans="2:6" x14ac:dyDescent="0.2">
      <c r="B4" s="58">
        <f ca="1">NOW()</f>
        <v>45049.630451041667</v>
      </c>
      <c r="C4" s="54"/>
      <c r="D4" s="54"/>
      <c r="E4" s="5"/>
    </row>
    <row r="5" spans="2:6" x14ac:dyDescent="0.2">
      <c r="B5" s="55"/>
      <c r="C5" s="55"/>
      <c r="D5" s="55"/>
    </row>
    <row r="6" spans="2:6" x14ac:dyDescent="0.2">
      <c r="B6" s="49"/>
      <c r="C6" s="50"/>
      <c r="D6" s="51"/>
    </row>
    <row r="7" spans="2:6" x14ac:dyDescent="0.2">
      <c r="B7" s="7"/>
      <c r="C7" s="8" t="s">
        <v>0</v>
      </c>
      <c r="D7" s="47">
        <f>SUM(TOTAL)</f>
        <v>0</v>
      </c>
    </row>
    <row r="8" spans="2:6" x14ac:dyDescent="0.2">
      <c r="B8" s="4"/>
      <c r="C8" s="4"/>
      <c r="D8" s="48"/>
      <c r="E8" s="4"/>
    </row>
    <row r="9" spans="2:6" x14ac:dyDescent="0.2">
      <c r="B9" s="4"/>
      <c r="C9" s="4"/>
      <c r="E9" s="4"/>
      <c r="F9" s="4"/>
    </row>
    <row r="10" spans="2:6" x14ac:dyDescent="0.2">
      <c r="B10" s="54" t="s">
        <v>92</v>
      </c>
      <c r="C10" s="54"/>
      <c r="D10" s="54"/>
      <c r="E10" s="4"/>
    </row>
    <row r="11" spans="2:6" x14ac:dyDescent="0.2">
      <c r="B11" s="54" t="str">
        <f>IF(CREAR_BOLETA!L5="","",CREAR_BOLETA!L5)</f>
        <v>EFECTIVO</v>
      </c>
      <c r="C11" s="54"/>
      <c r="D11" s="54"/>
      <c r="E11" s="3"/>
    </row>
    <row r="12" spans="2:6" x14ac:dyDescent="0.2">
      <c r="B12" s="55"/>
      <c r="C12" s="55"/>
      <c r="D12" s="55"/>
      <c r="E12" s="3"/>
    </row>
    <row r="13" spans="2:6" x14ac:dyDescent="0.2">
      <c r="B13" s="55" t="s">
        <v>1</v>
      </c>
      <c r="C13" s="55"/>
      <c r="D13" s="55"/>
    </row>
    <row r="14" spans="2:6" ht="15" customHeight="1" x14ac:dyDescent="0.2">
      <c r="B14" s="55"/>
      <c r="C14" s="55"/>
      <c r="D14" s="55"/>
    </row>
    <row r="15" spans="2:6" x14ac:dyDescent="0.2">
      <c r="B15" s="55"/>
      <c r="C15" s="55"/>
      <c r="D15" s="55"/>
    </row>
    <row r="16" spans="2:6" x14ac:dyDescent="0.2">
      <c r="B16" s="56" t="s">
        <v>2</v>
      </c>
      <c r="C16" s="56"/>
      <c r="D16" s="56"/>
    </row>
    <row r="17" spans="2:4" x14ac:dyDescent="0.2">
      <c r="B17" s="56"/>
      <c r="C17" s="56"/>
      <c r="D17" s="56"/>
    </row>
  </sheetData>
  <sheetProtection selectLockedCells="1" selectUnlockedCells="1"/>
  <mergeCells count="10">
    <mergeCell ref="B11:D11"/>
    <mergeCell ref="B12:D12"/>
    <mergeCell ref="B13:D15"/>
    <mergeCell ref="B16:D17"/>
    <mergeCell ref="B1:D1"/>
    <mergeCell ref="B2:D2"/>
    <mergeCell ref="B3:D3"/>
    <mergeCell ref="B4:D4"/>
    <mergeCell ref="B5:D5"/>
    <mergeCell ref="B10:D10"/>
  </mergeCells>
  <pageMargins left="0.25" right="0.25" top="0.75" bottom="0.75" header="0.3" footer="0.3"/>
  <pageSetup paperSize="124"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E2BC4-F7DD-432A-818B-8C6EDC7F01FA}">
  <sheetPr codeName="Hoja6"/>
  <dimension ref="B1:F17"/>
  <sheetViews>
    <sheetView zoomScale="115" zoomScaleNormal="115" workbookViewId="0">
      <selection activeCell="E10" sqref="E10"/>
    </sheetView>
  </sheetViews>
  <sheetFormatPr baseColWidth="10" defaultRowHeight="12" x14ac:dyDescent="0.2"/>
  <cols>
    <col min="1" max="1" width="0.28515625" style="1" customWidth="1"/>
    <col min="2" max="2" width="4.7109375" style="2" customWidth="1"/>
    <col min="3" max="3" width="20.5703125" style="1" customWidth="1"/>
    <col min="4" max="4" width="10.85546875" style="46" customWidth="1"/>
    <col min="5" max="5" width="9.5703125" style="1" customWidth="1"/>
    <col min="6" max="16384" width="11.42578125" style="1"/>
  </cols>
  <sheetData>
    <row r="1" spans="2:6" ht="126" customHeight="1" x14ac:dyDescent="0.2">
      <c r="B1" s="56"/>
      <c r="C1" s="56"/>
      <c r="D1" s="56"/>
      <c r="E1" s="2"/>
    </row>
    <row r="2" spans="2:6" x14ac:dyDescent="0.2">
      <c r="B2" s="57" t="s">
        <v>6</v>
      </c>
      <c r="C2" s="54"/>
      <c r="D2" s="54"/>
      <c r="E2" s="2"/>
    </row>
    <row r="3" spans="2:6" x14ac:dyDescent="0.2">
      <c r="B3" s="57"/>
      <c r="C3" s="57"/>
      <c r="D3" s="57"/>
      <c r="E3" s="6"/>
    </row>
    <row r="4" spans="2:6" x14ac:dyDescent="0.2">
      <c r="B4" s="58">
        <f ca="1">NOW()</f>
        <v>45049.630451041667</v>
      </c>
      <c r="C4" s="54"/>
      <c r="D4" s="54"/>
      <c r="E4" s="5"/>
    </row>
    <row r="5" spans="2:6" x14ac:dyDescent="0.2">
      <c r="B5" s="55"/>
      <c r="C5" s="55"/>
      <c r="D5" s="55"/>
    </row>
    <row r="6" spans="2:6" x14ac:dyDescent="0.2">
      <c r="B6" s="49"/>
      <c r="C6" s="50"/>
      <c r="D6" s="51"/>
    </row>
    <row r="7" spans="2:6" x14ac:dyDescent="0.2">
      <c r="B7" s="7"/>
      <c r="C7" s="8" t="s">
        <v>0</v>
      </c>
      <c r="D7" s="47">
        <f>SUM(TOTAL)</f>
        <v>0</v>
      </c>
    </row>
    <row r="8" spans="2:6" x14ac:dyDescent="0.2">
      <c r="B8" s="4"/>
      <c r="C8" s="4"/>
      <c r="D8" s="48"/>
      <c r="E8" s="4"/>
    </row>
    <row r="9" spans="2:6" x14ac:dyDescent="0.2">
      <c r="B9" s="4"/>
      <c r="C9" s="4"/>
      <c r="E9" s="4"/>
      <c r="F9" s="4"/>
    </row>
    <row r="10" spans="2:6" x14ac:dyDescent="0.2">
      <c r="B10" s="54" t="s">
        <v>92</v>
      </c>
      <c r="C10" s="54"/>
      <c r="D10" s="54"/>
      <c r="E10" s="4"/>
    </row>
    <row r="11" spans="2:6" x14ac:dyDescent="0.2">
      <c r="B11" s="54" t="str">
        <f>IF(CREAR_BOLETA!L5="","",CREAR_BOLETA!L5)</f>
        <v>EFECTIVO</v>
      </c>
      <c r="C11" s="54"/>
      <c r="D11" s="54"/>
      <c r="E11" s="3"/>
    </row>
    <row r="12" spans="2:6" x14ac:dyDescent="0.2">
      <c r="B12" s="55"/>
      <c r="C12" s="55"/>
      <c r="D12" s="55"/>
      <c r="E12" s="3"/>
    </row>
    <row r="13" spans="2:6" x14ac:dyDescent="0.2">
      <c r="B13" s="55" t="s">
        <v>1</v>
      </c>
      <c r="C13" s="55"/>
      <c r="D13" s="55"/>
    </row>
    <row r="14" spans="2:6" ht="15" customHeight="1" x14ac:dyDescent="0.2">
      <c r="B14" s="55"/>
      <c r="C14" s="55"/>
      <c r="D14" s="55"/>
    </row>
    <row r="15" spans="2:6" x14ac:dyDescent="0.2">
      <c r="B15" s="55"/>
      <c r="C15" s="55"/>
      <c r="D15" s="55"/>
    </row>
    <row r="16" spans="2:6" x14ac:dyDescent="0.2">
      <c r="B16" s="56" t="s">
        <v>2</v>
      </c>
      <c r="C16" s="56"/>
      <c r="D16" s="56"/>
    </row>
    <row r="17" spans="2:4" x14ac:dyDescent="0.2">
      <c r="B17" s="56"/>
      <c r="C17" s="56"/>
      <c r="D17" s="56"/>
    </row>
  </sheetData>
  <sheetProtection selectLockedCells="1" selectUnlockedCells="1"/>
  <mergeCells count="10">
    <mergeCell ref="B11:D11"/>
    <mergeCell ref="B12:D12"/>
    <mergeCell ref="B13:D15"/>
    <mergeCell ref="B16:D17"/>
    <mergeCell ref="B1:D1"/>
    <mergeCell ref="B2:D2"/>
    <mergeCell ref="B3:D3"/>
    <mergeCell ref="B4:D4"/>
    <mergeCell ref="B5:D5"/>
    <mergeCell ref="B10:D10"/>
  </mergeCells>
  <pageMargins left="0.25" right="0.25" top="0.75" bottom="0.75" header="0.3" footer="0.3"/>
  <pageSetup paperSize="124" orientation="portrait" horizontalDpi="203" verticalDpi="20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6E47C-6086-446B-B172-1D7FE1885D5D}">
  <sheetPr codeName="Hoja4"/>
  <dimension ref="A1:E65"/>
  <sheetViews>
    <sheetView workbookViewId="0">
      <selection activeCell="F14" sqref="F14"/>
    </sheetView>
  </sheetViews>
  <sheetFormatPr baseColWidth="10" defaultRowHeight="15" x14ac:dyDescent="0.25"/>
  <cols>
    <col min="1" max="1" width="18.42578125" bestFit="1" customWidth="1"/>
    <col min="2" max="2" width="39.7109375" bestFit="1" customWidth="1"/>
    <col min="3" max="3" width="9.7109375" bestFit="1" customWidth="1"/>
    <col min="4" max="4" width="21.42578125" bestFit="1" customWidth="1"/>
    <col min="5" max="5" width="17.140625" bestFit="1" customWidth="1"/>
  </cols>
  <sheetData>
    <row r="1" spans="1:5" x14ac:dyDescent="0.25">
      <c r="A1" t="s">
        <v>7</v>
      </c>
      <c r="B1" t="s">
        <v>8</v>
      </c>
      <c r="C1" t="s">
        <v>3</v>
      </c>
      <c r="D1" t="s">
        <v>9</v>
      </c>
      <c r="E1" t="s">
        <v>10</v>
      </c>
    </row>
    <row r="2" spans="1:5" x14ac:dyDescent="0.25">
      <c r="A2">
        <v>1</v>
      </c>
      <c r="B2" t="s">
        <v>11</v>
      </c>
      <c r="C2">
        <v>2600</v>
      </c>
      <c r="D2" t="s">
        <v>12</v>
      </c>
      <c r="E2" t="s">
        <v>11</v>
      </c>
    </row>
    <row r="3" spans="1:5" x14ac:dyDescent="0.25">
      <c r="A3">
        <v>2</v>
      </c>
      <c r="B3" t="s">
        <v>13</v>
      </c>
      <c r="C3">
        <v>2600</v>
      </c>
      <c r="D3" t="s">
        <v>12</v>
      </c>
      <c r="E3" t="s">
        <v>11</v>
      </c>
    </row>
    <row r="4" spans="1:5" x14ac:dyDescent="0.25">
      <c r="A4">
        <v>3</v>
      </c>
      <c r="B4" t="s">
        <v>14</v>
      </c>
      <c r="C4">
        <v>2600</v>
      </c>
      <c r="D4" t="s">
        <v>12</v>
      </c>
      <c r="E4" t="s">
        <v>11</v>
      </c>
    </row>
    <row r="5" spans="1:5" x14ac:dyDescent="0.25">
      <c r="A5">
        <v>4</v>
      </c>
      <c r="B5" t="s">
        <v>15</v>
      </c>
      <c r="C5">
        <v>2800</v>
      </c>
      <c r="D5" t="s">
        <v>12</v>
      </c>
      <c r="E5" t="s">
        <v>11</v>
      </c>
    </row>
    <row r="6" spans="1:5" x14ac:dyDescent="0.25">
      <c r="A6">
        <v>5</v>
      </c>
      <c r="B6" t="s">
        <v>16</v>
      </c>
      <c r="C6">
        <v>2800</v>
      </c>
      <c r="D6" t="s">
        <v>12</v>
      </c>
      <c r="E6" t="s">
        <v>11</v>
      </c>
    </row>
    <row r="7" spans="1:5" x14ac:dyDescent="0.25">
      <c r="A7">
        <v>6</v>
      </c>
      <c r="B7" t="s">
        <v>17</v>
      </c>
      <c r="C7">
        <v>2800</v>
      </c>
      <c r="D7" t="s">
        <v>12</v>
      </c>
      <c r="E7" t="s">
        <v>11</v>
      </c>
    </row>
    <row r="8" spans="1:5" x14ac:dyDescent="0.25">
      <c r="A8">
        <v>7</v>
      </c>
      <c r="B8" t="s">
        <v>18</v>
      </c>
      <c r="C8">
        <v>2200</v>
      </c>
      <c r="D8" t="s">
        <v>12</v>
      </c>
      <c r="E8" t="s">
        <v>18</v>
      </c>
    </row>
    <row r="9" spans="1:5" x14ac:dyDescent="0.25">
      <c r="A9">
        <v>8</v>
      </c>
      <c r="B9" t="s">
        <v>19</v>
      </c>
      <c r="C9">
        <v>2200</v>
      </c>
      <c r="D9" t="s">
        <v>12</v>
      </c>
      <c r="E9" t="s">
        <v>18</v>
      </c>
    </row>
    <row r="10" spans="1:5" x14ac:dyDescent="0.25">
      <c r="A10">
        <v>9</v>
      </c>
      <c r="B10" t="s">
        <v>20</v>
      </c>
      <c r="C10">
        <v>2500</v>
      </c>
      <c r="D10" t="s">
        <v>12</v>
      </c>
      <c r="E10" t="s">
        <v>18</v>
      </c>
    </row>
    <row r="11" spans="1:5" x14ac:dyDescent="0.25">
      <c r="A11">
        <v>10</v>
      </c>
      <c r="B11" t="s">
        <v>21</v>
      </c>
      <c r="C11">
        <v>2700</v>
      </c>
      <c r="D11" t="s">
        <v>12</v>
      </c>
      <c r="E11" t="s">
        <v>18</v>
      </c>
    </row>
    <row r="12" spans="1:5" x14ac:dyDescent="0.25">
      <c r="A12">
        <v>11</v>
      </c>
      <c r="B12" t="s">
        <v>22</v>
      </c>
      <c r="C12">
        <v>2800</v>
      </c>
      <c r="D12" t="s">
        <v>12</v>
      </c>
      <c r="E12" t="s">
        <v>22</v>
      </c>
    </row>
    <row r="13" spans="1:5" x14ac:dyDescent="0.25">
      <c r="A13">
        <v>12</v>
      </c>
      <c r="B13" t="s">
        <v>23</v>
      </c>
      <c r="C13">
        <v>2800</v>
      </c>
      <c r="D13" t="s">
        <v>12</v>
      </c>
      <c r="E13" t="s">
        <v>22</v>
      </c>
    </row>
    <row r="14" spans="1:5" x14ac:dyDescent="0.25">
      <c r="A14">
        <v>13</v>
      </c>
      <c r="B14" t="s">
        <v>24</v>
      </c>
      <c r="C14">
        <v>2800</v>
      </c>
      <c r="D14" t="s">
        <v>12</v>
      </c>
      <c r="E14" t="s">
        <v>22</v>
      </c>
    </row>
    <row r="15" spans="1:5" x14ac:dyDescent="0.25">
      <c r="A15">
        <v>14</v>
      </c>
      <c r="B15" t="s">
        <v>25</v>
      </c>
      <c r="C15">
        <v>3100</v>
      </c>
      <c r="D15" t="s">
        <v>12</v>
      </c>
      <c r="E15" t="s">
        <v>22</v>
      </c>
    </row>
    <row r="16" spans="1:5" x14ac:dyDescent="0.25">
      <c r="A16">
        <v>15</v>
      </c>
      <c r="B16" t="s">
        <v>26</v>
      </c>
      <c r="C16">
        <v>1600</v>
      </c>
      <c r="D16" t="s">
        <v>12</v>
      </c>
      <c r="E16" t="s">
        <v>26</v>
      </c>
    </row>
    <row r="17" spans="1:5" x14ac:dyDescent="0.25">
      <c r="A17">
        <v>16</v>
      </c>
      <c r="B17" t="s">
        <v>27</v>
      </c>
      <c r="C17">
        <v>1700</v>
      </c>
      <c r="D17" t="s">
        <v>12</v>
      </c>
      <c r="E17" t="s">
        <v>27</v>
      </c>
    </row>
    <row r="18" spans="1:5" x14ac:dyDescent="0.25">
      <c r="A18">
        <v>17</v>
      </c>
      <c r="B18" t="s">
        <v>28</v>
      </c>
      <c r="C18">
        <v>1900</v>
      </c>
      <c r="D18" t="s">
        <v>12</v>
      </c>
      <c r="E18" t="s">
        <v>26</v>
      </c>
    </row>
    <row r="19" spans="1:5" x14ac:dyDescent="0.25">
      <c r="A19">
        <v>18</v>
      </c>
      <c r="B19" t="s">
        <v>29</v>
      </c>
      <c r="C19">
        <v>2200</v>
      </c>
      <c r="D19" t="s">
        <v>12</v>
      </c>
      <c r="E19" t="s">
        <v>29</v>
      </c>
    </row>
    <row r="20" spans="1:5" x14ac:dyDescent="0.25">
      <c r="A20">
        <v>19</v>
      </c>
      <c r="B20" t="s">
        <v>30</v>
      </c>
      <c r="C20">
        <v>2800</v>
      </c>
      <c r="D20" t="s">
        <v>12</v>
      </c>
      <c r="E20" t="s">
        <v>29</v>
      </c>
    </row>
    <row r="21" spans="1:5" x14ac:dyDescent="0.25">
      <c r="A21">
        <v>20</v>
      </c>
      <c r="B21" t="s">
        <v>31</v>
      </c>
      <c r="C21">
        <v>2500</v>
      </c>
      <c r="D21" t="s">
        <v>32</v>
      </c>
      <c r="E21" t="s">
        <v>33</v>
      </c>
    </row>
    <row r="22" spans="1:5" x14ac:dyDescent="0.25">
      <c r="A22">
        <v>21</v>
      </c>
      <c r="B22" t="s">
        <v>34</v>
      </c>
      <c r="C22">
        <v>2500</v>
      </c>
      <c r="D22" t="s">
        <v>32</v>
      </c>
      <c r="E22" t="s">
        <v>33</v>
      </c>
    </row>
    <row r="23" spans="1:5" x14ac:dyDescent="0.25">
      <c r="A23">
        <v>22</v>
      </c>
      <c r="B23" t="s">
        <v>35</v>
      </c>
      <c r="C23">
        <v>2500</v>
      </c>
      <c r="D23" t="s">
        <v>32</v>
      </c>
      <c r="E23" t="s">
        <v>33</v>
      </c>
    </row>
    <row r="24" spans="1:5" x14ac:dyDescent="0.25">
      <c r="A24">
        <v>23</v>
      </c>
      <c r="B24" t="s">
        <v>36</v>
      </c>
      <c r="C24">
        <v>2000</v>
      </c>
      <c r="D24" t="s">
        <v>32</v>
      </c>
      <c r="E24" t="s">
        <v>33</v>
      </c>
    </row>
    <row r="25" spans="1:5" x14ac:dyDescent="0.25">
      <c r="A25">
        <v>24</v>
      </c>
      <c r="B25" t="s">
        <v>37</v>
      </c>
      <c r="C25">
        <v>2000</v>
      </c>
      <c r="D25" t="s">
        <v>33</v>
      </c>
      <c r="E25" t="s">
        <v>33</v>
      </c>
    </row>
    <row r="26" spans="1:5" x14ac:dyDescent="0.25">
      <c r="A26">
        <v>25</v>
      </c>
      <c r="B26" t="s">
        <v>38</v>
      </c>
      <c r="C26">
        <v>2500</v>
      </c>
      <c r="D26" t="s">
        <v>33</v>
      </c>
      <c r="E26" t="s">
        <v>33</v>
      </c>
    </row>
    <row r="27" spans="1:5" x14ac:dyDescent="0.25">
      <c r="A27">
        <v>26</v>
      </c>
      <c r="B27" t="s">
        <v>39</v>
      </c>
      <c r="C27">
        <v>1200</v>
      </c>
      <c r="D27" t="s">
        <v>33</v>
      </c>
      <c r="E27" t="s">
        <v>33</v>
      </c>
    </row>
    <row r="28" spans="1:5" x14ac:dyDescent="0.25">
      <c r="A28">
        <v>27</v>
      </c>
      <c r="B28" t="s">
        <v>40</v>
      </c>
      <c r="C28">
        <v>1800</v>
      </c>
      <c r="D28" t="s">
        <v>41</v>
      </c>
      <c r="E28" t="s">
        <v>41</v>
      </c>
    </row>
    <row r="29" spans="1:5" x14ac:dyDescent="0.25">
      <c r="A29">
        <v>28</v>
      </c>
      <c r="B29" t="s">
        <v>42</v>
      </c>
      <c r="C29">
        <v>2700</v>
      </c>
      <c r="D29" t="s">
        <v>43</v>
      </c>
      <c r="E29" t="s">
        <v>11</v>
      </c>
    </row>
    <row r="30" spans="1:5" x14ac:dyDescent="0.25">
      <c r="A30">
        <v>29</v>
      </c>
      <c r="B30" t="s">
        <v>44</v>
      </c>
      <c r="C30">
        <v>3100</v>
      </c>
      <c r="D30" t="s">
        <v>43</v>
      </c>
      <c r="E30" t="s">
        <v>11</v>
      </c>
    </row>
    <row r="31" spans="1:5" x14ac:dyDescent="0.25">
      <c r="A31">
        <v>30</v>
      </c>
      <c r="B31" t="s">
        <v>45</v>
      </c>
      <c r="C31">
        <v>3100</v>
      </c>
      <c r="D31" t="s">
        <v>43</v>
      </c>
      <c r="E31" t="s">
        <v>11</v>
      </c>
    </row>
    <row r="32" spans="1:5" x14ac:dyDescent="0.25">
      <c r="A32">
        <v>31</v>
      </c>
      <c r="B32" t="s">
        <v>46</v>
      </c>
      <c r="C32">
        <v>3300</v>
      </c>
      <c r="D32" t="s">
        <v>43</v>
      </c>
      <c r="E32" t="s">
        <v>11</v>
      </c>
    </row>
    <row r="33" spans="1:5" x14ac:dyDescent="0.25">
      <c r="A33">
        <v>32</v>
      </c>
      <c r="B33" t="s">
        <v>47</v>
      </c>
      <c r="C33">
        <v>3300</v>
      </c>
      <c r="D33" t="s">
        <v>43</v>
      </c>
      <c r="E33" t="s">
        <v>11</v>
      </c>
    </row>
    <row r="34" spans="1:5" x14ac:dyDescent="0.25">
      <c r="A34">
        <v>33</v>
      </c>
      <c r="B34" t="s">
        <v>48</v>
      </c>
      <c r="C34">
        <v>3300</v>
      </c>
      <c r="D34" t="s">
        <v>43</v>
      </c>
      <c r="E34" t="s">
        <v>11</v>
      </c>
    </row>
    <row r="35" spans="1:5" x14ac:dyDescent="0.25">
      <c r="A35">
        <v>34</v>
      </c>
      <c r="B35" t="s">
        <v>49</v>
      </c>
      <c r="C35">
        <v>2700</v>
      </c>
      <c r="D35" t="s">
        <v>43</v>
      </c>
      <c r="E35" t="s">
        <v>18</v>
      </c>
    </row>
    <row r="36" spans="1:5" x14ac:dyDescent="0.25">
      <c r="A36">
        <v>35</v>
      </c>
      <c r="B36" t="s">
        <v>50</v>
      </c>
      <c r="C36">
        <v>2700</v>
      </c>
      <c r="D36" t="s">
        <v>43</v>
      </c>
      <c r="E36" t="s">
        <v>18</v>
      </c>
    </row>
    <row r="37" spans="1:5" x14ac:dyDescent="0.25">
      <c r="A37">
        <v>36</v>
      </c>
      <c r="B37" t="s">
        <v>51</v>
      </c>
      <c r="C37">
        <v>3000</v>
      </c>
      <c r="D37" t="s">
        <v>43</v>
      </c>
      <c r="E37" t="s">
        <v>18</v>
      </c>
    </row>
    <row r="38" spans="1:5" x14ac:dyDescent="0.25">
      <c r="A38">
        <v>37</v>
      </c>
      <c r="B38" t="s">
        <v>52</v>
      </c>
      <c r="C38">
        <v>3300</v>
      </c>
      <c r="D38" t="s">
        <v>43</v>
      </c>
      <c r="E38" t="s">
        <v>18</v>
      </c>
    </row>
    <row r="39" spans="1:5" x14ac:dyDescent="0.25">
      <c r="A39">
        <v>38</v>
      </c>
      <c r="B39" t="s">
        <v>53</v>
      </c>
      <c r="C39">
        <v>3300</v>
      </c>
      <c r="D39" t="s">
        <v>43</v>
      </c>
      <c r="E39" t="s">
        <v>22</v>
      </c>
    </row>
    <row r="40" spans="1:5" x14ac:dyDescent="0.25">
      <c r="A40">
        <v>39</v>
      </c>
      <c r="B40" t="s">
        <v>54</v>
      </c>
      <c r="C40">
        <v>3300</v>
      </c>
      <c r="D40" t="s">
        <v>43</v>
      </c>
      <c r="E40" t="s">
        <v>22</v>
      </c>
    </row>
    <row r="41" spans="1:5" x14ac:dyDescent="0.25">
      <c r="A41">
        <v>40</v>
      </c>
      <c r="B41" t="s">
        <v>55</v>
      </c>
      <c r="C41">
        <v>3600</v>
      </c>
      <c r="D41" t="s">
        <v>43</v>
      </c>
      <c r="E41" t="s">
        <v>22</v>
      </c>
    </row>
    <row r="42" spans="1:5" x14ac:dyDescent="0.25">
      <c r="A42">
        <v>41</v>
      </c>
      <c r="B42" t="s">
        <v>56</v>
      </c>
      <c r="C42">
        <v>3600</v>
      </c>
      <c r="D42" t="s">
        <v>43</v>
      </c>
      <c r="E42" t="s">
        <v>22</v>
      </c>
    </row>
    <row r="43" spans="1:5" x14ac:dyDescent="0.25">
      <c r="A43">
        <v>42</v>
      </c>
      <c r="B43" t="s">
        <v>57</v>
      </c>
      <c r="C43">
        <v>2200</v>
      </c>
      <c r="D43" t="s">
        <v>43</v>
      </c>
      <c r="E43" t="s">
        <v>27</v>
      </c>
    </row>
    <row r="44" spans="1:5" x14ac:dyDescent="0.25">
      <c r="A44">
        <v>43</v>
      </c>
      <c r="B44" t="s">
        <v>58</v>
      </c>
      <c r="C44">
        <v>2700</v>
      </c>
      <c r="D44" t="s">
        <v>43</v>
      </c>
      <c r="E44" t="s">
        <v>29</v>
      </c>
    </row>
    <row r="45" spans="1:5" x14ac:dyDescent="0.25">
      <c r="A45">
        <v>44</v>
      </c>
      <c r="B45" t="s">
        <v>59</v>
      </c>
      <c r="C45">
        <v>3300</v>
      </c>
      <c r="D45" t="s">
        <v>43</v>
      </c>
      <c r="E45" t="s">
        <v>29</v>
      </c>
    </row>
    <row r="46" spans="1:5" x14ac:dyDescent="0.25">
      <c r="A46">
        <v>45</v>
      </c>
      <c r="B46" t="s">
        <v>60</v>
      </c>
      <c r="C46">
        <v>3200</v>
      </c>
      <c r="D46" t="s">
        <v>43</v>
      </c>
      <c r="E46" t="s">
        <v>43</v>
      </c>
    </row>
    <row r="47" spans="1:5" x14ac:dyDescent="0.25">
      <c r="A47">
        <v>46</v>
      </c>
      <c r="B47" t="s">
        <v>61</v>
      </c>
      <c r="C47">
        <v>3200</v>
      </c>
      <c r="D47" t="s">
        <v>43</v>
      </c>
      <c r="E47" t="s">
        <v>43</v>
      </c>
    </row>
    <row r="48" spans="1:5" x14ac:dyDescent="0.25">
      <c r="A48">
        <v>47</v>
      </c>
      <c r="B48" t="s">
        <v>62</v>
      </c>
      <c r="C48">
        <v>1500</v>
      </c>
      <c r="D48" t="s">
        <v>63</v>
      </c>
      <c r="E48" t="s">
        <v>63</v>
      </c>
    </row>
    <row r="49" spans="1:5" x14ac:dyDescent="0.25">
      <c r="A49">
        <v>48</v>
      </c>
      <c r="B49" t="s">
        <v>64</v>
      </c>
      <c r="C49">
        <v>1800</v>
      </c>
      <c r="D49" t="s">
        <v>63</v>
      </c>
      <c r="E49" t="s">
        <v>63</v>
      </c>
    </row>
    <row r="50" spans="1:5" x14ac:dyDescent="0.25">
      <c r="A50">
        <v>49</v>
      </c>
      <c r="B50" t="s">
        <v>65</v>
      </c>
      <c r="C50">
        <v>2700</v>
      </c>
      <c r="D50" t="s">
        <v>63</v>
      </c>
      <c r="E50" t="s">
        <v>63</v>
      </c>
    </row>
    <row r="51" spans="1:5" x14ac:dyDescent="0.25">
      <c r="A51">
        <v>50</v>
      </c>
      <c r="B51" t="s">
        <v>66</v>
      </c>
      <c r="C51">
        <v>2700</v>
      </c>
      <c r="D51" t="s">
        <v>63</v>
      </c>
      <c r="E51" t="s">
        <v>63</v>
      </c>
    </row>
    <row r="52" spans="1:5" x14ac:dyDescent="0.25">
      <c r="A52">
        <v>51</v>
      </c>
      <c r="B52" t="s">
        <v>67</v>
      </c>
      <c r="C52">
        <v>2100</v>
      </c>
      <c r="D52" t="s">
        <v>63</v>
      </c>
      <c r="E52" t="s">
        <v>63</v>
      </c>
    </row>
    <row r="53" spans="1:5" x14ac:dyDescent="0.25">
      <c r="A53">
        <v>52</v>
      </c>
      <c r="B53" t="s">
        <v>68</v>
      </c>
      <c r="C53">
        <v>2500</v>
      </c>
      <c r="D53" t="s">
        <v>63</v>
      </c>
      <c r="E53" t="s">
        <v>63</v>
      </c>
    </row>
    <row r="54" spans="1:5" x14ac:dyDescent="0.25">
      <c r="A54">
        <v>53</v>
      </c>
      <c r="B54" t="s">
        <v>69</v>
      </c>
      <c r="C54">
        <v>2500</v>
      </c>
      <c r="D54" t="s">
        <v>63</v>
      </c>
      <c r="E54" t="s">
        <v>63</v>
      </c>
    </row>
    <row r="55" spans="1:5" x14ac:dyDescent="0.25">
      <c r="A55">
        <v>54</v>
      </c>
      <c r="B55" t="s">
        <v>70</v>
      </c>
      <c r="C55">
        <v>3000</v>
      </c>
      <c r="D55" t="s">
        <v>63</v>
      </c>
      <c r="E55" t="s">
        <v>63</v>
      </c>
    </row>
    <row r="56" spans="1:5" x14ac:dyDescent="0.25">
      <c r="A56">
        <v>55</v>
      </c>
      <c r="B56" t="s">
        <v>71</v>
      </c>
      <c r="C56">
        <v>2500</v>
      </c>
      <c r="D56" t="s">
        <v>63</v>
      </c>
      <c r="E56" t="s">
        <v>63</v>
      </c>
    </row>
    <row r="57" spans="1:5" x14ac:dyDescent="0.25">
      <c r="A57">
        <v>56</v>
      </c>
      <c r="B57" t="s">
        <v>72</v>
      </c>
      <c r="C57">
        <v>1800</v>
      </c>
      <c r="D57" t="s">
        <v>73</v>
      </c>
      <c r="E57" t="s">
        <v>73</v>
      </c>
    </row>
    <row r="58" spans="1:5" x14ac:dyDescent="0.25">
      <c r="A58">
        <v>57</v>
      </c>
      <c r="B58" t="s">
        <v>74</v>
      </c>
      <c r="C58">
        <v>1800</v>
      </c>
      <c r="D58" t="s">
        <v>73</v>
      </c>
      <c r="E58" t="s">
        <v>73</v>
      </c>
    </row>
    <row r="59" spans="1:5" x14ac:dyDescent="0.25">
      <c r="A59">
        <v>58</v>
      </c>
      <c r="B59" t="s">
        <v>75</v>
      </c>
      <c r="C59">
        <v>1800</v>
      </c>
      <c r="D59" t="s">
        <v>73</v>
      </c>
      <c r="E59" t="s">
        <v>73</v>
      </c>
    </row>
    <row r="60" spans="1:5" x14ac:dyDescent="0.25">
      <c r="A60">
        <v>59</v>
      </c>
      <c r="B60" t="s">
        <v>76</v>
      </c>
      <c r="C60">
        <v>1800</v>
      </c>
      <c r="D60" t="s">
        <v>73</v>
      </c>
      <c r="E60" t="s">
        <v>73</v>
      </c>
    </row>
    <row r="61" spans="1:5" x14ac:dyDescent="0.25">
      <c r="A61">
        <v>60</v>
      </c>
      <c r="B61" t="s">
        <v>77</v>
      </c>
      <c r="C61">
        <v>3300</v>
      </c>
      <c r="D61" t="s">
        <v>78</v>
      </c>
      <c r="E61" t="s">
        <v>78</v>
      </c>
    </row>
    <row r="62" spans="1:5" x14ac:dyDescent="0.25">
      <c r="A62">
        <v>61</v>
      </c>
      <c r="B62" t="s">
        <v>79</v>
      </c>
      <c r="C62">
        <v>3300</v>
      </c>
      <c r="D62" t="s">
        <v>78</v>
      </c>
      <c r="E62" t="s">
        <v>78</v>
      </c>
    </row>
    <row r="63" spans="1:5" x14ac:dyDescent="0.25">
      <c r="A63">
        <v>62</v>
      </c>
      <c r="B63" t="s">
        <v>80</v>
      </c>
      <c r="C63">
        <v>3300</v>
      </c>
      <c r="D63" t="s">
        <v>78</v>
      </c>
      <c r="E63" t="s">
        <v>78</v>
      </c>
    </row>
    <row r="64" spans="1:5" x14ac:dyDescent="0.25">
      <c r="A64">
        <v>63</v>
      </c>
      <c r="B64" t="s">
        <v>81</v>
      </c>
      <c r="C64">
        <v>6200</v>
      </c>
      <c r="D64" t="s">
        <v>82</v>
      </c>
      <c r="E64" t="s">
        <v>82</v>
      </c>
    </row>
    <row r="65" spans="1:1" x14ac:dyDescent="0.25">
      <c r="A65">
        <v>64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C4498-605E-45A4-8650-527F074244F3}">
  <sheetPr codeName="Hoja5"/>
  <dimension ref="A1:A4"/>
  <sheetViews>
    <sheetView workbookViewId="0">
      <selection activeCell="C9" sqref="C9"/>
    </sheetView>
  </sheetViews>
  <sheetFormatPr baseColWidth="10" defaultRowHeight="15" x14ac:dyDescent="0.25"/>
  <cols>
    <col min="1" max="1" width="23.42578125" customWidth="1"/>
  </cols>
  <sheetData>
    <row r="1" spans="1:1" x14ac:dyDescent="0.25">
      <c r="A1" t="s">
        <v>91</v>
      </c>
    </row>
    <row r="2" spans="1:1" x14ac:dyDescent="0.25">
      <c r="A2" s="18" t="s">
        <v>89</v>
      </c>
    </row>
    <row r="3" spans="1:1" x14ac:dyDescent="0.25">
      <c r="A3" s="19" t="s">
        <v>90</v>
      </c>
    </row>
    <row r="4" spans="1:1" x14ac:dyDescent="0.25">
      <c r="A4" s="38" t="s">
        <v>93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004B80E-298C-40B2-8DFB-CD7067FB4C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CREAR_BOLETA</vt:lpstr>
      <vt:lpstr>REGISTRO_DE_VENTAS</vt:lpstr>
      <vt:lpstr>BOLETA</vt:lpstr>
      <vt:lpstr>BOLETA_BASE</vt:lpstr>
      <vt:lpstr>PRODUCTOS</vt:lpstr>
      <vt:lpstr>MÉTODOS_DE_PAGO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Nicolás Valdés;HIDEKI COFFEE</dc:creator>
  <cp:keywords>Boleta</cp:keywords>
  <cp:lastModifiedBy>Nicolás</cp:lastModifiedBy>
  <cp:lastPrinted>2023-05-03T19:06:25Z</cp:lastPrinted>
  <dcterms:created xsi:type="dcterms:W3CDTF">2023-04-24T18:16:25Z</dcterms:created>
  <dcterms:modified xsi:type="dcterms:W3CDTF">2023-05-03T19:09:12Z</dcterms:modified>
</cp:coreProperties>
</file>